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ddy Chen\Desktop\Burnup Charts\"/>
    </mc:Choice>
  </mc:AlternateContent>
  <bookViews>
    <workbookView xWindow="0" yWindow="0" windowWidth="20496" windowHeight="7428"/>
  </bookViews>
  <sheets>
    <sheet name="Burnup Chart" sheetId="1" r:id="rId1"/>
    <sheet name="Input" sheetId="3" r:id="rId2"/>
    <sheet name="Final Data" sheetId="4" state="veryHidden" r:id="rId3"/>
  </sheets>
  <definedNames>
    <definedName name="Dates">OFFSET('Final Data'!$A$1,1,,SUMPRODUCT(--('Final Data'!$A$2:$A$202&lt;&gt;"")))</definedName>
    <definedName name="IdealB">OFFSET('Final Data'!$A$1,1,3,SUMPRODUCT(--('Final Data'!$D$2:$D$202&lt;&gt;"")))</definedName>
    <definedName name="ScopeC">OFFSET('Final Data'!$A$1,1,2,SUMPRODUCT(--(NOT(ISNA('Final Data'!$C$2:$C$202)))))</definedName>
    <definedName name="ScopeP">OFFSET('Final Data'!$A$1,1,1,SUMPRODUCT(--('Final Data'!$B$2:$B$202&lt;&gt;"")))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A4" i="3" l="1"/>
  <c r="A5" i="3"/>
  <c r="A5" i="4" s="1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7" i="4"/>
  <c r="C6" i="4"/>
  <c r="C5" i="4"/>
  <c r="C4" i="4"/>
  <c r="C3" i="4"/>
  <c r="C2" i="4"/>
  <c r="C11" i="4"/>
  <c r="C10" i="4"/>
  <c r="C9" i="4"/>
  <c r="C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1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A4" i="4"/>
  <c r="B3" i="4"/>
  <c r="N3" i="4"/>
  <c r="A3" i="4"/>
  <c r="C1" i="4"/>
  <c r="B1" i="4"/>
  <c r="A6" i="3" l="1"/>
  <c r="O5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S4" i="4" s="1"/>
  <c r="R1" i="4"/>
  <c r="R4" i="4" s="1"/>
  <c r="Q1" i="4"/>
  <c r="P1" i="4"/>
  <c r="O1" i="4"/>
  <c r="N1" i="4"/>
  <c r="O4" i="4"/>
  <c r="Q4" i="4"/>
  <c r="P4" i="4"/>
  <c r="N4" i="4"/>
  <c r="A6" i="4" l="1"/>
  <c r="A7" i="3"/>
  <c r="R3" i="4"/>
  <c r="AL4" i="4"/>
  <c r="AL5" i="4"/>
  <c r="BB4" i="4"/>
  <c r="BB5" i="4"/>
  <c r="X4" i="4"/>
  <c r="X5" i="4"/>
  <c r="AB4" i="4"/>
  <c r="AB5" i="4"/>
  <c r="AF4" i="4"/>
  <c r="AF5" i="4"/>
  <c r="AJ4" i="4"/>
  <c r="AJ5" i="4"/>
  <c r="AN4" i="4"/>
  <c r="AN5" i="4"/>
  <c r="AR4" i="4"/>
  <c r="AR5" i="4"/>
  <c r="AV4" i="4"/>
  <c r="AV5" i="4"/>
  <c r="AZ4" i="4"/>
  <c r="AZ5" i="4"/>
  <c r="BD4" i="4"/>
  <c r="BD5" i="4"/>
  <c r="BH4" i="4"/>
  <c r="BH5" i="4"/>
  <c r="Z4" i="4"/>
  <c r="Z5" i="4"/>
  <c r="AD4" i="4"/>
  <c r="AD5" i="4"/>
  <c r="AH4" i="4"/>
  <c r="AH5" i="4"/>
  <c r="AT4" i="4"/>
  <c r="AT5" i="4"/>
  <c r="AX4" i="4"/>
  <c r="AX5" i="4"/>
  <c r="BJ4" i="4"/>
  <c r="BJ5" i="4"/>
  <c r="O3" i="4"/>
  <c r="N5" i="4"/>
  <c r="P5" i="4" s="1"/>
  <c r="Q5" i="4" s="1"/>
  <c r="R5" i="4" s="1"/>
  <c r="S5" i="4" s="1"/>
  <c r="P3" i="4"/>
  <c r="T4" i="4"/>
  <c r="T5" i="4"/>
  <c r="Q3" i="4"/>
  <c r="U5" i="4"/>
  <c r="U4" i="4"/>
  <c r="Y5" i="4"/>
  <c r="Y4" i="4"/>
  <c r="AC5" i="4"/>
  <c r="AC4" i="4"/>
  <c r="AG5" i="4"/>
  <c r="AG4" i="4"/>
  <c r="AK5" i="4"/>
  <c r="AK4" i="4"/>
  <c r="AO5" i="4"/>
  <c r="AO4" i="4"/>
  <c r="AS5" i="4"/>
  <c r="AS4" i="4"/>
  <c r="AW5" i="4"/>
  <c r="AW4" i="4"/>
  <c r="BA5" i="4"/>
  <c r="BA4" i="4"/>
  <c r="BE5" i="4"/>
  <c r="BE4" i="4"/>
  <c r="BI5" i="4"/>
  <c r="BI4" i="4"/>
  <c r="V4" i="4"/>
  <c r="V5" i="4"/>
  <c r="AP4" i="4"/>
  <c r="AP5" i="4"/>
  <c r="BF4" i="4"/>
  <c r="BF5" i="4"/>
  <c r="W4" i="4"/>
  <c r="W5" i="4"/>
  <c r="AA4" i="4"/>
  <c r="AA5" i="4"/>
  <c r="AE4" i="4"/>
  <c r="AE5" i="4"/>
  <c r="AI4" i="4"/>
  <c r="AI5" i="4"/>
  <c r="AM4" i="4"/>
  <c r="AM5" i="4"/>
  <c r="AQ5" i="4"/>
  <c r="AQ4" i="4"/>
  <c r="AU4" i="4"/>
  <c r="AU5" i="4"/>
  <c r="AY4" i="4"/>
  <c r="AY5" i="4"/>
  <c r="BC4" i="4"/>
  <c r="BC5" i="4"/>
  <c r="BG5" i="4"/>
  <c r="BG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N2" i="4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A8" i="3" l="1"/>
  <c r="A7" i="4"/>
  <c r="A8" i="4" l="1"/>
  <c r="A9" i="3"/>
  <c r="A9" i="4" l="1"/>
  <c r="A10" i="3"/>
  <c r="A10" i="4" l="1"/>
  <c r="A11" i="3"/>
  <c r="A11" i="4" l="1"/>
  <c r="A12" i="3"/>
  <c r="A13" i="3" l="1"/>
  <c r="A12" i="4"/>
  <c r="A14" i="3" l="1"/>
  <c r="A13" i="4"/>
  <c r="A15" i="3" l="1"/>
  <c r="A14" i="4"/>
  <c r="A16" i="3" l="1"/>
  <c r="A15" i="4"/>
  <c r="A17" i="3" l="1"/>
  <c r="A16" i="4"/>
  <c r="A18" i="3" l="1"/>
  <c r="A18" i="4" s="1"/>
  <c r="D3" i="4" s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A17" i="4"/>
</calcChain>
</file>

<file path=xl/sharedStrings.xml><?xml version="1.0" encoding="utf-8"?>
<sst xmlns="http://schemas.openxmlformats.org/spreadsheetml/2006/main" count="6" uniqueCount="5">
  <si>
    <t>Day 0</t>
  </si>
  <si>
    <t>Scope / Stories</t>
  </si>
  <si>
    <t>Dates</t>
  </si>
  <si>
    <t>Enter points completed for a Date and Sprint.</t>
  </si>
  <si>
    <t>Completed Scope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</si>
</sst>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1" fillId="0" borderId="0" xfId="0" applyNumberFormat="1" applyFont="1"/>
    <xf numFmtId="1" fontId="1" fillId="0" borderId="0" xfId="0" applyNumberFormat="1" applyFont="1"/>
    <xf numFmtId="1" fontId="0" fillId="0" borderId="0" xfId="0" applyNumberFormat="1" applyFont="1"/>
    <xf numFmtId="165" fontId="1" fillId="0" borderId="0" xfId="0" applyNumberFormat="1" applyFont="1"/>
    <xf numFmtId="164" fontId="0" fillId="0" borderId="0" xfId="0" applyNumberFormat="1" applyFont="1"/>
    <xf numFmtId="164" fontId="1" fillId="0" borderId="0" xfId="0" applyNumberFormat="1" applyFont="1" applyFill="1"/>
    <xf numFmtId="165" fontId="0" fillId="0" borderId="0" xfId="0" applyNumberFormat="1" applyFont="1"/>
    <xf numFmtId="0" fontId="0" fillId="0" borderId="0" xfId="0" applyFont="1" applyAlignment="1">
      <alignment wrapText="1"/>
    </xf>
    <xf numFmtId="0" fontId="0" fillId="0" borderId="0" xfId="0"/>
    <xf numFmtId="0" fontId="1" fillId="2" borderId="0" xfId="0" applyNumberFormat="1" applyFont="1" applyFill="1" applyAlignment="1">
      <alignment wrapText="1"/>
    </xf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Grepthink</a:t>
            </a:r>
            <a:r>
              <a:rPr lang="en-US" b="1" baseline="0"/>
              <a:t> </a:t>
            </a:r>
            <a:r>
              <a:rPr lang="en-US" b="1"/>
              <a:t>- Burnup</a:t>
            </a:r>
            <a:r>
              <a:rPr lang="en-US" b="1" baseline="0"/>
              <a:t> </a:t>
            </a:r>
            <a:r>
              <a:rPr lang="en-US" b="1"/>
              <a:t>Chart</a:t>
            </a:r>
          </a:p>
          <a:p>
            <a:pPr>
              <a:defRPr/>
            </a:pPr>
            <a:r>
              <a:rPr lang="en-US" b="1"/>
              <a:t>Sprint - 1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589285605842536E-2"/>
          <c:y val="0.18637168141592919"/>
          <c:w val="0.94544326105465415"/>
          <c:h val="0.62617006944928344"/>
        </c:manualLayout>
      </c:layout>
      <c:lineChart>
        <c:grouping val="standard"/>
        <c:varyColors val="0"/>
        <c:ser>
          <c:idx val="0"/>
          <c:order val="0"/>
          <c:tx>
            <c:strRef>
              <c:f>'Final Data'!$B$1</c:f>
              <c:strCache>
                <c:ptCount val="1"/>
                <c:pt idx="0">
                  <c:v>Scope Planned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17"/>
                <c:pt idx="0">
                  <c:v>Day 0</c:v>
                </c:pt>
                <c:pt idx="1">
                  <c:v>25-Jan-18</c:v>
                </c:pt>
                <c:pt idx="2">
                  <c:v>26-Jan-18</c:v>
                </c:pt>
                <c:pt idx="3">
                  <c:v>27-Jan-18</c:v>
                </c:pt>
                <c:pt idx="4">
                  <c:v>28-Jan-18</c:v>
                </c:pt>
                <c:pt idx="5">
                  <c:v>29-Jan-18</c:v>
                </c:pt>
                <c:pt idx="6">
                  <c:v>30-Jan-18</c:v>
                </c:pt>
                <c:pt idx="7">
                  <c:v>31-Jan-18</c:v>
                </c:pt>
                <c:pt idx="8">
                  <c:v>1-Feb-18</c:v>
                </c:pt>
                <c:pt idx="9">
                  <c:v>2-Feb-18</c:v>
                </c:pt>
                <c:pt idx="10">
                  <c:v>3-Feb-18</c:v>
                </c:pt>
                <c:pt idx="11">
                  <c:v>4-Feb-18</c:v>
                </c:pt>
                <c:pt idx="12">
                  <c:v>5-Feb-18</c:v>
                </c:pt>
                <c:pt idx="13">
                  <c:v>6-Feb-18</c:v>
                </c:pt>
                <c:pt idx="14">
                  <c:v>7-Feb-18</c:v>
                </c:pt>
                <c:pt idx="15">
                  <c:v>8-Feb-18</c:v>
                </c:pt>
                <c:pt idx="16">
                  <c:v>9-Feb-18</c:v>
                </c:pt>
              </c:strCache>
            </c:strRef>
          </c:cat>
          <c:val>
            <c:numRef>
              <c:f>[0]!ScopeP</c:f>
              <c:numCache>
                <c:formatCode>General</c:formatCode>
                <c:ptCount val="17"/>
                <c:pt idx="0">
                  <c:v>40</c:v>
                </c:pt>
                <c:pt idx="1">
                  <c:v>20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'Final Data'!$C$1</c:f>
              <c:strCache>
                <c:ptCount val="1"/>
                <c:pt idx="0">
                  <c:v>Scope Completed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17"/>
                <c:pt idx="0">
                  <c:v>Day 0</c:v>
                </c:pt>
                <c:pt idx="1">
                  <c:v>25-Jan-18</c:v>
                </c:pt>
                <c:pt idx="2">
                  <c:v>26-Jan-18</c:v>
                </c:pt>
                <c:pt idx="3">
                  <c:v>27-Jan-18</c:v>
                </c:pt>
                <c:pt idx="4">
                  <c:v>28-Jan-18</c:v>
                </c:pt>
                <c:pt idx="5">
                  <c:v>29-Jan-18</c:v>
                </c:pt>
                <c:pt idx="6">
                  <c:v>30-Jan-18</c:v>
                </c:pt>
                <c:pt idx="7">
                  <c:v>31-Jan-18</c:v>
                </c:pt>
                <c:pt idx="8">
                  <c:v>1-Feb-18</c:v>
                </c:pt>
                <c:pt idx="9">
                  <c:v>2-Feb-18</c:v>
                </c:pt>
                <c:pt idx="10">
                  <c:v>3-Feb-18</c:v>
                </c:pt>
                <c:pt idx="11">
                  <c:v>4-Feb-18</c:v>
                </c:pt>
                <c:pt idx="12">
                  <c:v>5-Feb-18</c:v>
                </c:pt>
                <c:pt idx="13">
                  <c:v>6-Feb-18</c:v>
                </c:pt>
                <c:pt idx="14">
                  <c:v>7-Feb-18</c:v>
                </c:pt>
                <c:pt idx="15">
                  <c:v>8-Feb-18</c:v>
                </c:pt>
                <c:pt idx="16">
                  <c:v>9-Feb-18</c:v>
                </c:pt>
              </c:strCache>
            </c:strRef>
          </c:cat>
          <c:val>
            <c:numRef>
              <c:f>[0]!ScopeC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9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17</c:v>
                </c:pt>
                <c:pt idx="11">
                  <c:v>19</c:v>
                </c:pt>
                <c:pt idx="12">
                  <c:v>23</c:v>
                </c:pt>
                <c:pt idx="13">
                  <c:v>26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'Final Data'!$D$1</c:f>
              <c:strCache>
                <c:ptCount val="1"/>
                <c:pt idx="0">
                  <c:v>Ideal Burnup</c:v>
                </c:pt>
              </c:strCache>
            </c:strRef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17"/>
                <c:pt idx="0">
                  <c:v>Day 0</c:v>
                </c:pt>
                <c:pt idx="1">
                  <c:v>25-Jan-18</c:v>
                </c:pt>
                <c:pt idx="2">
                  <c:v>26-Jan-18</c:v>
                </c:pt>
                <c:pt idx="3">
                  <c:v>27-Jan-18</c:v>
                </c:pt>
                <c:pt idx="4">
                  <c:v>28-Jan-18</c:v>
                </c:pt>
                <c:pt idx="5">
                  <c:v>29-Jan-18</c:v>
                </c:pt>
                <c:pt idx="6">
                  <c:v>30-Jan-18</c:v>
                </c:pt>
                <c:pt idx="7">
                  <c:v>31-Jan-18</c:v>
                </c:pt>
                <c:pt idx="8">
                  <c:v>1-Feb-18</c:v>
                </c:pt>
                <c:pt idx="9">
                  <c:v>2-Feb-18</c:v>
                </c:pt>
                <c:pt idx="10">
                  <c:v>3-Feb-18</c:v>
                </c:pt>
                <c:pt idx="11">
                  <c:v>4-Feb-18</c:v>
                </c:pt>
                <c:pt idx="12">
                  <c:v>5-Feb-18</c:v>
                </c:pt>
                <c:pt idx="13">
                  <c:v>6-Feb-18</c:v>
                </c:pt>
                <c:pt idx="14">
                  <c:v>7-Feb-18</c:v>
                </c:pt>
                <c:pt idx="15">
                  <c:v>8-Feb-18</c:v>
                </c:pt>
                <c:pt idx="16">
                  <c:v>9-Feb-18</c:v>
                </c:pt>
              </c:strCache>
            </c:strRef>
          </c:cat>
          <c:val>
            <c:numRef>
              <c:f>[0]!IdealB</c:f>
              <c:numCache>
                <c:formatCode>0</c:formatCode>
                <c:ptCount val="17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2928816"/>
        <c:axId val="382929208"/>
      </c:lineChart>
      <c:catAx>
        <c:axId val="38292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29208"/>
        <c:crosses val="autoZero"/>
        <c:auto val="1"/>
        <c:lblAlgn val="ctr"/>
        <c:lblOffset val="100"/>
        <c:noMultiLvlLbl val="0"/>
      </c:catAx>
      <c:valAx>
        <c:axId val="382929208"/>
        <c:scaling>
          <c:orientation val="minMax"/>
          <c:max val="4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2881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529590</xdr:colOff>
      <xdr:row>23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121920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4"/>
  <sheetViews>
    <sheetView tabSelected="1" workbookViewId="0">
      <selection activeCell="L28" sqref="L28"/>
    </sheetView>
  </sheetViews>
  <sheetFormatPr defaultRowHeight="14.4" x14ac:dyDescent="0.3"/>
  <cols>
    <col min="11" max="11" width="2.5546875" customWidth="1"/>
    <col min="12" max="12" width="20.88671875" bestFit="1" customWidth="1"/>
  </cols>
  <sheetData>
    <row r="1" spans="4:12" x14ac:dyDescent="0.3">
      <c r="D1" s="13"/>
      <c r="E1" s="13"/>
      <c r="F1" s="13"/>
      <c r="G1" s="13"/>
      <c r="H1" s="13"/>
      <c r="I1" s="13"/>
      <c r="J1" s="13"/>
    </row>
    <row r="2" spans="4:12" x14ac:dyDescent="0.3">
      <c r="D2" s="13"/>
      <c r="E2" s="13"/>
      <c r="F2" s="13"/>
      <c r="G2" s="13"/>
      <c r="H2" s="13"/>
      <c r="I2" s="13"/>
      <c r="J2" s="13"/>
      <c r="L2" s="1"/>
    </row>
    <row r="3" spans="4:12" x14ac:dyDescent="0.3">
      <c r="L3" s="1"/>
    </row>
    <row r="4" spans="4:12" x14ac:dyDescent="0.3">
      <c r="L4" s="1"/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workbookViewId="0">
      <pane ySplit="2" topLeftCell="A3" activePane="bottomLeft" state="frozen"/>
      <selection pane="bottomLeft" activeCell="B11" sqref="B11"/>
    </sheetView>
  </sheetViews>
  <sheetFormatPr defaultColWidth="0" defaultRowHeight="14.4" zeroHeight="1" x14ac:dyDescent="0.3"/>
  <cols>
    <col min="1" max="1" width="12.88671875" customWidth="1"/>
    <col min="2" max="2" width="13.88671875" customWidth="1"/>
    <col min="3" max="3" width="16.6640625" bestFit="1" customWidth="1"/>
    <col min="4" max="7" width="9.6640625" hidden="1" customWidth="1"/>
    <col min="8" max="11" width="10" hidden="1" customWidth="1"/>
    <col min="12" max="15" width="9.5546875" hidden="1" customWidth="1"/>
    <col min="16" max="17" width="10.33203125" hidden="1" customWidth="1"/>
    <col min="18" max="62" width="9.109375" hidden="1" customWidth="1"/>
    <col min="63" max="16384" width="9.109375" hidden="1"/>
  </cols>
  <sheetData>
    <row r="1" spans="1:62" ht="60" customHeight="1" x14ac:dyDescent="0.3">
      <c r="C1" s="14" t="s">
        <v>3</v>
      </c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62" s="1" customFormat="1" x14ac:dyDescent="0.3">
      <c r="A2" s="5" t="s">
        <v>2</v>
      </c>
      <c r="B2" s="10" t="s">
        <v>1</v>
      </c>
      <c r="C2" s="1" t="s">
        <v>4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</row>
    <row r="3" spans="1:62" x14ac:dyDescent="0.3">
      <c r="A3" s="9">
        <v>43125</v>
      </c>
      <c r="B3" s="2">
        <v>20</v>
      </c>
      <c r="C3" s="12">
        <v>0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62" x14ac:dyDescent="0.3">
      <c r="A4" s="9">
        <f>A3+1</f>
        <v>43126</v>
      </c>
      <c r="B4" s="2">
        <v>30</v>
      </c>
      <c r="C4" s="12">
        <v>3</v>
      </c>
      <c r="D4" s="3"/>
      <c r="E4" s="3"/>
      <c r="F4" s="3"/>
      <c r="G4" s="3"/>
      <c r="H4" s="3"/>
      <c r="I4" s="3"/>
      <c r="J4" s="3"/>
      <c r="K4" s="3"/>
      <c r="L4" s="3"/>
      <c r="M4" s="3"/>
    </row>
    <row r="5" spans="1:62" x14ac:dyDescent="0.3">
      <c r="A5" s="9">
        <f t="shared" ref="A5:A18" si="0">A4+1</f>
        <v>43127</v>
      </c>
      <c r="B5" s="2">
        <v>25</v>
      </c>
      <c r="C5" s="12">
        <v>0</v>
      </c>
      <c r="D5" s="3"/>
      <c r="E5" s="3"/>
      <c r="F5" s="3"/>
      <c r="G5" s="3"/>
      <c r="H5" s="3"/>
      <c r="I5" s="3"/>
      <c r="J5" s="3"/>
      <c r="K5" s="3"/>
      <c r="L5" s="3"/>
      <c r="M5" s="3"/>
    </row>
    <row r="6" spans="1:62" x14ac:dyDescent="0.3">
      <c r="A6" s="9">
        <f t="shared" si="0"/>
        <v>43128</v>
      </c>
      <c r="B6" s="2">
        <v>25</v>
      </c>
      <c r="C6" s="12">
        <v>0</v>
      </c>
      <c r="D6" s="3"/>
      <c r="E6" s="3"/>
      <c r="F6" s="3"/>
      <c r="G6" s="3"/>
      <c r="H6" s="3"/>
      <c r="I6" s="3"/>
      <c r="J6" s="3"/>
      <c r="K6" s="3"/>
      <c r="L6" s="3"/>
      <c r="M6" s="3"/>
    </row>
    <row r="7" spans="1:62" x14ac:dyDescent="0.3">
      <c r="A7" s="9">
        <f t="shared" si="0"/>
        <v>43129</v>
      </c>
      <c r="B7" s="2">
        <v>35</v>
      </c>
      <c r="C7" s="12">
        <v>6</v>
      </c>
      <c r="D7" s="3"/>
      <c r="E7" s="3"/>
      <c r="F7" s="3"/>
      <c r="G7" s="3"/>
      <c r="H7" s="3"/>
      <c r="I7" s="3"/>
      <c r="J7" s="3"/>
      <c r="K7" s="3"/>
      <c r="L7" s="3"/>
      <c r="M7" s="3"/>
    </row>
    <row r="8" spans="1:62" x14ac:dyDescent="0.3">
      <c r="A8" s="9">
        <f t="shared" si="0"/>
        <v>43130</v>
      </c>
      <c r="B8" s="2">
        <v>35</v>
      </c>
      <c r="C8" s="12">
        <v>3</v>
      </c>
      <c r="D8" s="3"/>
      <c r="E8" s="3"/>
      <c r="F8" s="3"/>
      <c r="G8" s="3"/>
      <c r="H8" s="3"/>
      <c r="I8" s="3"/>
      <c r="J8" s="3"/>
      <c r="K8" s="3"/>
      <c r="L8" s="3"/>
      <c r="M8" s="3"/>
    </row>
    <row r="9" spans="1:62" x14ac:dyDescent="0.3">
      <c r="A9" s="9">
        <f t="shared" si="0"/>
        <v>43131</v>
      </c>
      <c r="B9" s="2">
        <v>35</v>
      </c>
      <c r="C9" s="12">
        <v>0</v>
      </c>
      <c r="D9" s="3"/>
      <c r="E9" s="3"/>
      <c r="F9" s="3"/>
      <c r="G9" s="3"/>
      <c r="H9" s="3"/>
      <c r="I9" s="3"/>
      <c r="J9" s="3"/>
      <c r="K9" s="3"/>
      <c r="L9" s="3"/>
      <c r="M9" s="3"/>
    </row>
    <row r="10" spans="1:62" x14ac:dyDescent="0.3">
      <c r="A10" s="9">
        <f t="shared" si="0"/>
        <v>43132</v>
      </c>
      <c r="B10" s="2">
        <v>35</v>
      </c>
      <c r="C10" s="12">
        <v>0</v>
      </c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62" x14ac:dyDescent="0.3">
      <c r="A11" s="9">
        <f t="shared" si="0"/>
        <v>43133</v>
      </c>
      <c r="B11" s="2">
        <v>35</v>
      </c>
      <c r="C11" s="12">
        <v>0</v>
      </c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62" x14ac:dyDescent="0.3">
      <c r="A12" s="9">
        <f t="shared" si="0"/>
        <v>43134</v>
      </c>
      <c r="B12" s="2">
        <v>40</v>
      </c>
      <c r="C12" s="12">
        <v>5</v>
      </c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62" x14ac:dyDescent="0.3">
      <c r="A13" s="9">
        <f t="shared" si="0"/>
        <v>43135</v>
      </c>
      <c r="B13" s="2">
        <v>40</v>
      </c>
      <c r="C13" s="12">
        <v>2</v>
      </c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1:62" x14ac:dyDescent="0.3">
      <c r="A14" s="9">
        <f t="shared" si="0"/>
        <v>43136</v>
      </c>
      <c r="B14" s="2">
        <v>40</v>
      </c>
      <c r="C14" s="12">
        <v>4</v>
      </c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62" x14ac:dyDescent="0.3">
      <c r="A15" s="9">
        <f t="shared" si="0"/>
        <v>43137</v>
      </c>
      <c r="B15" s="2">
        <v>40</v>
      </c>
      <c r="C15" s="12">
        <v>3</v>
      </c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62" x14ac:dyDescent="0.3">
      <c r="A16" s="9">
        <f t="shared" si="0"/>
        <v>43138</v>
      </c>
      <c r="B16" s="2">
        <v>40</v>
      </c>
      <c r="C16" s="12">
        <v>3</v>
      </c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x14ac:dyDescent="0.3">
      <c r="A17" s="9">
        <f t="shared" si="0"/>
        <v>43139</v>
      </c>
      <c r="B17" s="2">
        <v>40</v>
      </c>
      <c r="C17" s="12">
        <v>2</v>
      </c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1:13" x14ac:dyDescent="0.3">
      <c r="A18" s="9">
        <f t="shared" si="0"/>
        <v>43140</v>
      </c>
      <c r="B18" s="2">
        <v>40</v>
      </c>
      <c r="C18" s="12">
        <v>2</v>
      </c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1:13" x14ac:dyDescent="0.3">
      <c r="A19" s="9"/>
      <c r="B19" s="2"/>
      <c r="C19" s="12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1:13" x14ac:dyDescent="0.3">
      <c r="A20" s="9"/>
      <c r="B20" s="2"/>
      <c r="C20" s="12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1:13" x14ac:dyDescent="0.3">
      <c r="A21" s="9"/>
      <c r="B21" s="2"/>
      <c r="C21" s="12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x14ac:dyDescent="0.3">
      <c r="A22" s="9"/>
      <c r="B22" s="2"/>
      <c r="C22" s="12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9"/>
      <c r="B23" s="2"/>
      <c r="C23" s="12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9"/>
      <c r="B24" s="2"/>
      <c r="C24" s="12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9"/>
      <c r="B25" s="2"/>
      <c r="C25" s="12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9"/>
      <c r="B26" s="2"/>
      <c r="C26" s="12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9"/>
      <c r="B27" s="2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9"/>
      <c r="B28" s="2"/>
      <c r="C28" s="12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9"/>
      <c r="B29" s="2"/>
      <c r="C29" s="12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9"/>
      <c r="B30" s="2"/>
      <c r="C30" s="12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9"/>
      <c r="B31" s="2"/>
      <c r="C31" s="12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9"/>
      <c r="B32" s="2"/>
      <c r="C32" s="12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9"/>
      <c r="B33" s="2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9"/>
      <c r="B34" s="2"/>
      <c r="C34" s="12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9"/>
      <c r="B35" s="2"/>
      <c r="C35" s="12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9"/>
      <c r="B36" s="2"/>
      <c r="C36" s="12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9"/>
      <c r="B37" s="2"/>
      <c r="C37" s="12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9"/>
      <c r="B38" s="2"/>
      <c r="C38" s="12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9"/>
      <c r="B39" s="2"/>
      <c r="C39" s="12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9"/>
      <c r="B40" s="2"/>
      <c r="C40" s="12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9"/>
      <c r="B41" s="2"/>
      <c r="C41" s="12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9"/>
      <c r="B42" s="2"/>
      <c r="C42" s="12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9"/>
      <c r="B43" s="2"/>
      <c r="C43" s="12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9"/>
      <c r="B44" s="2"/>
      <c r="C44" s="12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9"/>
      <c r="B45" s="2"/>
      <c r="C45" s="12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9"/>
      <c r="B46" s="2"/>
      <c r="C46" s="12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9"/>
      <c r="B47" s="2"/>
      <c r="C47" s="12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9"/>
      <c r="B48" s="2"/>
      <c r="C48" s="12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3">
      <c r="A49" s="9"/>
      <c r="B49" s="2"/>
      <c r="C49" s="12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3">
      <c r="A50" s="9"/>
      <c r="B50" s="2"/>
      <c r="C50" s="12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3">
      <c r="A51" s="9"/>
      <c r="B51" s="2"/>
      <c r="C51" s="12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3">
      <c r="A52" s="9"/>
      <c r="B52" s="2"/>
      <c r="C52" s="12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3">
      <c r="A53" s="9"/>
      <c r="B53" s="2"/>
      <c r="C53" s="12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3">
      <c r="A54" s="9"/>
      <c r="B54" s="2"/>
      <c r="C54" s="12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3">
      <c r="A55" s="9"/>
      <c r="B55" s="2"/>
      <c r="C55" s="12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3">
      <c r="A56" s="9"/>
      <c r="B56" s="2"/>
      <c r="C56" s="12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3">
      <c r="A57" s="9"/>
      <c r="B57" s="2"/>
      <c r="C57" s="12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3">
      <c r="A58" s="9"/>
      <c r="B58" s="2"/>
      <c r="C58" s="12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3">
      <c r="A59" s="9"/>
      <c r="B59" s="2"/>
      <c r="C59" s="12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3">
      <c r="A60" s="9"/>
      <c r="B60" s="2"/>
      <c r="C60" s="12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3">
      <c r="A61" s="9"/>
      <c r="B61" s="2"/>
      <c r="C61" s="12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3">
      <c r="A62" s="9"/>
      <c r="B62" s="2"/>
      <c r="C62" s="12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3">
      <c r="A63" s="9"/>
      <c r="B63" s="2"/>
      <c r="C63" s="12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3">
      <c r="A64" s="9"/>
      <c r="B64" s="2"/>
      <c r="C64" s="12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3">
      <c r="A65" s="9"/>
      <c r="B65" s="2"/>
      <c r="C65" s="12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3">
      <c r="A66" s="9"/>
      <c r="B66" s="2"/>
      <c r="C66" s="12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3">
      <c r="A67" s="9"/>
      <c r="B67" s="2"/>
      <c r="C67" s="12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3">
      <c r="A68" s="9"/>
      <c r="B68" s="2"/>
      <c r="C68" s="12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3">
      <c r="A69" s="9"/>
      <c r="B69" s="2"/>
      <c r="C69" s="12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3">
      <c r="A70" s="9"/>
      <c r="B70" s="2"/>
      <c r="C70" s="12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3">
      <c r="A71" s="9"/>
      <c r="B71" s="2"/>
      <c r="C71" s="12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3">
      <c r="A72" s="9"/>
      <c r="B72" s="2"/>
      <c r="C72" s="12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3">
      <c r="A73" s="9"/>
      <c r="B73" s="2"/>
      <c r="C73" s="12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3">
      <c r="A74" s="9"/>
      <c r="B74" s="2"/>
      <c r="C74" s="12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3">
      <c r="A75" s="9"/>
      <c r="B75" s="2"/>
      <c r="C75" s="12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3">
      <c r="A76" s="9"/>
      <c r="B76" s="2"/>
      <c r="C76" s="12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3">
      <c r="A77" s="9"/>
      <c r="B77" s="2"/>
      <c r="C77" s="12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3">
      <c r="A78" s="9"/>
      <c r="B78" s="2"/>
      <c r="C78" s="12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3">
      <c r="A79" s="9"/>
      <c r="B79" s="2"/>
      <c r="C79" s="12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3">
      <c r="A80" s="9"/>
      <c r="B80" s="2"/>
      <c r="C80" s="12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3">
      <c r="A81" s="9"/>
      <c r="B81" s="2"/>
      <c r="C81" s="12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3">
      <c r="A82" s="9"/>
      <c r="B82" s="2"/>
      <c r="C82" s="12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3">
      <c r="A83" s="9"/>
      <c r="B83" s="2"/>
      <c r="C83" s="12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3">
      <c r="A84" s="9"/>
      <c r="B84" s="2"/>
      <c r="C84" s="12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3">
      <c r="A85" s="9"/>
      <c r="B85" s="2"/>
      <c r="C85" s="12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3">
      <c r="A86" s="9"/>
      <c r="B86" s="2"/>
      <c r="C86" s="12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3">
      <c r="A87" s="9"/>
      <c r="B87" s="2"/>
      <c r="C87" s="12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3">
      <c r="A88" s="9"/>
      <c r="B88" s="2"/>
      <c r="C88" s="12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3">
      <c r="A89" s="9"/>
      <c r="B89" s="2"/>
      <c r="C89" s="12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3">
      <c r="A90" s="9"/>
      <c r="B90" s="2"/>
      <c r="C90" s="12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3">
      <c r="A91" s="9"/>
      <c r="B91" s="2"/>
      <c r="C91" s="12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3">
      <c r="A92" s="9"/>
      <c r="B92" s="2"/>
      <c r="C92" s="12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3">
      <c r="A93" s="9"/>
      <c r="B93" s="2"/>
      <c r="C93" s="12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3">
      <c r="A94" s="9"/>
      <c r="B94" s="2"/>
      <c r="C94" s="12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3">
      <c r="A95" s="9"/>
      <c r="B95" s="2"/>
      <c r="C95" s="12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3">
      <c r="A96" s="9"/>
      <c r="B96" s="2"/>
      <c r="C96" s="12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3">
      <c r="A97" s="9"/>
      <c r="B97" s="2"/>
      <c r="C97" s="12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3">
      <c r="A98" s="9"/>
      <c r="B98" s="2"/>
      <c r="C98" s="12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3">
      <c r="A99" s="9"/>
      <c r="B99" s="2"/>
      <c r="C99" s="12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3">
      <c r="A100" s="9"/>
      <c r="B100" s="2"/>
      <c r="C100" s="12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3">
      <c r="A101" s="9"/>
      <c r="B101" s="2"/>
      <c r="C101" s="12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3">
      <c r="A102" s="9"/>
      <c r="B102" s="2"/>
      <c r="C102" s="12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 x14ac:dyDescent="0.3">
      <c r="A103" s="9"/>
      <c r="B103" s="2"/>
      <c r="C103" s="12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 x14ac:dyDescent="0.3">
      <c r="A104" s="9"/>
      <c r="B104" s="2"/>
      <c r="C104" s="12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 x14ac:dyDescent="0.3">
      <c r="A105" s="9"/>
      <c r="B105" s="2"/>
      <c r="C105" s="12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 x14ac:dyDescent="0.3">
      <c r="A106" s="9"/>
      <c r="B106" s="2"/>
      <c r="C106" s="12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 x14ac:dyDescent="0.3">
      <c r="A107" s="9"/>
      <c r="B107" s="2"/>
      <c r="C107" s="12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 x14ac:dyDescent="0.3">
      <c r="A108" s="9"/>
      <c r="B108" s="2"/>
      <c r="C108" s="12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 x14ac:dyDescent="0.3">
      <c r="A109" s="9"/>
      <c r="B109" s="2"/>
      <c r="C109" s="12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 x14ac:dyDescent="0.3">
      <c r="A110" s="9"/>
      <c r="B110" s="2"/>
      <c r="C110" s="12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 x14ac:dyDescent="0.3">
      <c r="A111" s="9"/>
      <c r="B111" s="2"/>
      <c r="C111" s="12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 x14ac:dyDescent="0.3">
      <c r="A112" s="9"/>
      <c r="B112" s="2"/>
      <c r="C112" s="12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 x14ac:dyDescent="0.3">
      <c r="A113" s="9"/>
      <c r="B113" s="2"/>
      <c r="C113" s="12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 x14ac:dyDescent="0.3">
      <c r="A114" s="9"/>
      <c r="B114" s="2"/>
      <c r="C114" s="12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 x14ac:dyDescent="0.3">
      <c r="A115" s="9"/>
      <c r="B115" s="2"/>
      <c r="C115" s="12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 x14ac:dyDescent="0.3">
      <c r="A116" s="9"/>
      <c r="B116" s="2"/>
      <c r="C116" s="12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 x14ac:dyDescent="0.3">
      <c r="A117" s="9"/>
      <c r="B117" s="2"/>
      <c r="C117" s="12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 x14ac:dyDescent="0.3">
      <c r="A118" s="9"/>
      <c r="B118" s="2"/>
      <c r="C118" s="12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 x14ac:dyDescent="0.3">
      <c r="A119" s="9"/>
      <c r="B119" s="2"/>
      <c r="C119" s="12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 x14ac:dyDescent="0.3">
      <c r="A120" s="9"/>
      <c r="B120" s="2"/>
      <c r="C120" s="12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 x14ac:dyDescent="0.3">
      <c r="A121" s="9"/>
      <c r="B121" s="2"/>
      <c r="C121" s="12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 x14ac:dyDescent="0.3">
      <c r="A122" s="9"/>
      <c r="B122" s="2"/>
      <c r="C122" s="12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 x14ac:dyDescent="0.3">
      <c r="A123" s="9"/>
      <c r="B123" s="2"/>
      <c r="C123" s="12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 x14ac:dyDescent="0.3">
      <c r="A124" s="9"/>
      <c r="B124" s="2"/>
      <c r="C124" s="12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 x14ac:dyDescent="0.3">
      <c r="A125" s="9"/>
      <c r="B125" s="2"/>
      <c r="C125" s="12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 x14ac:dyDescent="0.3">
      <c r="A126" s="9"/>
      <c r="B126" s="2"/>
      <c r="C126" s="12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 x14ac:dyDescent="0.3">
      <c r="A127" s="9"/>
      <c r="B127" s="2"/>
      <c r="C127" s="12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 x14ac:dyDescent="0.3">
      <c r="A128" s="9"/>
      <c r="B128" s="2"/>
      <c r="C128" s="12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 x14ac:dyDescent="0.3">
      <c r="A129" s="9"/>
      <c r="B129" s="2"/>
      <c r="C129" s="12"/>
      <c r="D129" s="3"/>
      <c r="E129" s="3"/>
      <c r="F129" s="3"/>
      <c r="G129" s="3"/>
      <c r="H129" s="3"/>
      <c r="I129" s="3"/>
      <c r="J129" s="3"/>
      <c r="K129" s="3"/>
      <c r="L129" s="3"/>
      <c r="M129" s="3"/>
    </row>
    <row r="130" spans="1:13" x14ac:dyDescent="0.3">
      <c r="A130" s="9"/>
      <c r="B130" s="2"/>
      <c r="C130" s="12"/>
      <c r="D130" s="3"/>
      <c r="E130" s="3"/>
      <c r="F130" s="3"/>
      <c r="G130" s="3"/>
      <c r="H130" s="3"/>
      <c r="I130" s="3"/>
      <c r="J130" s="3"/>
      <c r="K130" s="3"/>
      <c r="L130" s="3"/>
      <c r="M130" s="3"/>
    </row>
    <row r="131" spans="1:13" x14ac:dyDescent="0.3">
      <c r="A131" s="9"/>
      <c r="B131" s="2"/>
      <c r="C131" s="12"/>
      <c r="D131" s="3"/>
      <c r="E131" s="3"/>
      <c r="F131" s="3"/>
      <c r="G131" s="3"/>
      <c r="H131" s="3"/>
      <c r="I131" s="3"/>
      <c r="J131" s="3"/>
      <c r="K131" s="3"/>
      <c r="L131" s="3"/>
      <c r="M131" s="3"/>
    </row>
    <row r="132" spans="1:13" x14ac:dyDescent="0.3">
      <c r="A132" s="9"/>
      <c r="B132" s="2"/>
      <c r="C132" s="12"/>
      <c r="D132" s="3"/>
      <c r="E132" s="3"/>
      <c r="F132" s="3"/>
      <c r="G132" s="3"/>
      <c r="H132" s="3"/>
      <c r="I132" s="3"/>
      <c r="J132" s="3"/>
      <c r="K132" s="3"/>
      <c r="L132" s="3"/>
      <c r="M132" s="3"/>
    </row>
    <row r="133" spans="1:13" x14ac:dyDescent="0.3">
      <c r="A133" s="9"/>
      <c r="B133" s="2"/>
      <c r="C133" s="12"/>
      <c r="D133" s="3"/>
      <c r="E133" s="3"/>
      <c r="F133" s="3"/>
      <c r="G133" s="3"/>
      <c r="H133" s="3"/>
      <c r="I133" s="3"/>
      <c r="J133" s="3"/>
      <c r="K133" s="3"/>
      <c r="L133" s="3"/>
      <c r="M133" s="3"/>
    </row>
    <row r="134" spans="1:13" x14ac:dyDescent="0.3">
      <c r="A134" s="9"/>
      <c r="B134" s="2"/>
      <c r="C134" s="12"/>
      <c r="D134" s="3"/>
      <c r="E134" s="3"/>
      <c r="F134" s="3"/>
      <c r="G134" s="3"/>
      <c r="H134" s="3"/>
      <c r="I134" s="3"/>
      <c r="J134" s="3"/>
      <c r="K134" s="3"/>
      <c r="L134" s="3"/>
      <c r="M134" s="3"/>
    </row>
    <row r="135" spans="1:13" x14ac:dyDescent="0.3">
      <c r="A135" s="9"/>
      <c r="B135" s="2"/>
      <c r="C135" s="12"/>
      <c r="D135" s="3"/>
      <c r="E135" s="3"/>
      <c r="F135" s="3"/>
      <c r="G135" s="3"/>
      <c r="H135" s="3"/>
      <c r="I135" s="3"/>
      <c r="J135" s="3"/>
      <c r="K135" s="3"/>
      <c r="L135" s="3"/>
      <c r="M135" s="3"/>
    </row>
    <row r="136" spans="1:13" x14ac:dyDescent="0.3">
      <c r="A136" s="9"/>
      <c r="B136" s="2"/>
      <c r="C136" s="12"/>
      <c r="D136" s="3"/>
      <c r="E136" s="3"/>
      <c r="F136" s="3"/>
      <c r="G136" s="3"/>
      <c r="H136" s="3"/>
      <c r="I136" s="3"/>
      <c r="J136" s="3"/>
      <c r="K136" s="3"/>
      <c r="L136" s="3"/>
      <c r="M136" s="3"/>
    </row>
    <row r="137" spans="1:13" x14ac:dyDescent="0.3">
      <c r="A137" s="9"/>
      <c r="B137" s="2"/>
      <c r="C137" s="12"/>
      <c r="D137" s="3"/>
      <c r="E137" s="3"/>
      <c r="F137" s="3"/>
      <c r="G137" s="3"/>
      <c r="H137" s="3"/>
      <c r="I137" s="3"/>
      <c r="J137" s="3"/>
      <c r="K137" s="3"/>
      <c r="L137" s="3"/>
      <c r="M137" s="3"/>
    </row>
    <row r="138" spans="1:13" x14ac:dyDescent="0.3">
      <c r="A138" s="9"/>
      <c r="B138" s="2"/>
      <c r="C138" s="12"/>
      <c r="D138" s="3"/>
      <c r="E138" s="3"/>
      <c r="F138" s="3"/>
      <c r="G138" s="3"/>
      <c r="H138" s="3"/>
      <c r="I138" s="3"/>
      <c r="J138" s="3"/>
      <c r="K138" s="3"/>
      <c r="L138" s="3"/>
      <c r="M138" s="3"/>
    </row>
    <row r="139" spans="1:13" x14ac:dyDescent="0.3">
      <c r="A139" s="9"/>
      <c r="B139" s="2"/>
      <c r="C139" s="12"/>
      <c r="D139" s="3"/>
      <c r="E139" s="3"/>
      <c r="F139" s="3"/>
      <c r="G139" s="3"/>
      <c r="H139" s="3"/>
      <c r="I139" s="3"/>
      <c r="J139" s="3"/>
      <c r="K139" s="3"/>
      <c r="L139" s="3"/>
      <c r="M139" s="3"/>
    </row>
    <row r="140" spans="1:13" x14ac:dyDescent="0.3">
      <c r="A140" s="9"/>
      <c r="B140" s="2"/>
      <c r="C140" s="12"/>
      <c r="D140" s="3"/>
      <c r="E140" s="3"/>
      <c r="F140" s="3"/>
      <c r="G140" s="3"/>
      <c r="H140" s="3"/>
      <c r="I140" s="3"/>
      <c r="J140" s="3"/>
      <c r="K140" s="3"/>
      <c r="L140" s="3"/>
      <c r="M140" s="3"/>
    </row>
    <row r="141" spans="1:13" x14ac:dyDescent="0.3">
      <c r="A141" s="9"/>
      <c r="B141" s="2"/>
      <c r="C141" s="12"/>
      <c r="D141" s="3"/>
      <c r="E141" s="3"/>
      <c r="F141" s="3"/>
      <c r="G141" s="3"/>
      <c r="H141" s="3"/>
      <c r="I141" s="3"/>
      <c r="J141" s="3"/>
      <c r="K141" s="3"/>
      <c r="L141" s="3"/>
      <c r="M141" s="3"/>
    </row>
    <row r="142" spans="1:13" x14ac:dyDescent="0.3">
      <c r="A142" s="9"/>
      <c r="B142" s="2"/>
      <c r="C142" s="12"/>
      <c r="D142" s="3"/>
      <c r="E142" s="3"/>
      <c r="F142" s="3"/>
      <c r="G142" s="3"/>
      <c r="H142" s="3"/>
      <c r="I142" s="3"/>
      <c r="J142" s="3"/>
      <c r="K142" s="3"/>
      <c r="L142" s="3"/>
      <c r="M142" s="3"/>
    </row>
    <row r="143" spans="1:13" x14ac:dyDescent="0.3">
      <c r="A143" s="9"/>
      <c r="B143" s="2"/>
      <c r="C143" s="12"/>
      <c r="D143" s="3"/>
      <c r="E143" s="3"/>
      <c r="F143" s="3"/>
      <c r="G143" s="3"/>
      <c r="H143" s="3"/>
      <c r="I143" s="3"/>
      <c r="J143" s="3"/>
      <c r="K143" s="3"/>
      <c r="L143" s="3"/>
      <c r="M143" s="3"/>
    </row>
    <row r="144" spans="1:13" x14ac:dyDescent="0.3">
      <c r="A144" s="9"/>
      <c r="B144" s="2"/>
      <c r="C144" s="12"/>
      <c r="D144" s="3"/>
      <c r="E144" s="3"/>
      <c r="F144" s="3"/>
      <c r="G144" s="3"/>
      <c r="H144" s="3"/>
      <c r="I144" s="3"/>
      <c r="J144" s="3"/>
      <c r="K144" s="3"/>
      <c r="L144" s="3"/>
      <c r="M144" s="3"/>
    </row>
    <row r="145" spans="1:13" x14ac:dyDescent="0.3">
      <c r="A145" s="9"/>
      <c r="B145" s="2"/>
      <c r="C145" s="12"/>
      <c r="D145" s="3"/>
      <c r="E145" s="3"/>
      <c r="F145" s="3"/>
      <c r="G145" s="3"/>
      <c r="H145" s="3"/>
      <c r="I145" s="3"/>
      <c r="J145" s="3"/>
      <c r="K145" s="3"/>
      <c r="L145" s="3"/>
      <c r="M145" s="3"/>
    </row>
    <row r="146" spans="1:13" x14ac:dyDescent="0.3">
      <c r="A146" s="9"/>
      <c r="B146" s="2"/>
      <c r="C146" s="12"/>
      <c r="D146" s="3"/>
      <c r="E146" s="3"/>
      <c r="F146" s="3"/>
      <c r="G146" s="3"/>
      <c r="H146" s="3"/>
      <c r="I146" s="3"/>
      <c r="J146" s="3"/>
      <c r="K146" s="3"/>
      <c r="L146" s="3"/>
      <c r="M146" s="3"/>
    </row>
    <row r="147" spans="1:13" x14ac:dyDescent="0.3">
      <c r="A147" s="9"/>
      <c r="B147" s="2"/>
      <c r="C147" s="12"/>
      <c r="D147" s="3"/>
      <c r="E147" s="3"/>
      <c r="F147" s="3"/>
      <c r="G147" s="3"/>
      <c r="H147" s="3"/>
      <c r="I147" s="3"/>
      <c r="J147" s="3"/>
      <c r="K147" s="3"/>
      <c r="L147" s="3"/>
      <c r="M147" s="3"/>
    </row>
    <row r="148" spans="1:13" x14ac:dyDescent="0.3">
      <c r="A148" s="9"/>
      <c r="B148" s="2"/>
      <c r="C148" s="12"/>
      <c r="D148" s="3"/>
      <c r="E148" s="3"/>
      <c r="F148" s="3"/>
      <c r="G148" s="3"/>
      <c r="H148" s="3"/>
      <c r="I148" s="3"/>
      <c r="J148" s="3"/>
      <c r="K148" s="3"/>
      <c r="L148" s="3"/>
      <c r="M148" s="3"/>
    </row>
    <row r="149" spans="1:13" x14ac:dyDescent="0.3">
      <c r="A149" s="9"/>
      <c r="B149" s="2"/>
      <c r="C149" s="12"/>
      <c r="D149" s="3"/>
      <c r="E149" s="3"/>
      <c r="F149" s="3"/>
      <c r="G149" s="3"/>
      <c r="H149" s="3"/>
      <c r="I149" s="3"/>
      <c r="J149" s="3"/>
      <c r="K149" s="3"/>
      <c r="L149" s="3"/>
      <c r="M149" s="3"/>
    </row>
    <row r="150" spans="1:13" x14ac:dyDescent="0.3">
      <c r="A150" s="9"/>
      <c r="B150" s="2"/>
      <c r="C150" s="12"/>
      <c r="D150" s="3"/>
      <c r="E150" s="3"/>
      <c r="F150" s="3"/>
      <c r="G150" s="3"/>
      <c r="H150" s="3"/>
      <c r="I150" s="3"/>
      <c r="J150" s="3"/>
      <c r="K150" s="3"/>
      <c r="L150" s="3"/>
      <c r="M150" s="3"/>
    </row>
    <row r="151" spans="1:13" x14ac:dyDescent="0.3">
      <c r="A151" s="9"/>
      <c r="B151" s="2"/>
      <c r="C151" s="12"/>
      <c r="D151" s="3"/>
      <c r="E151" s="3"/>
      <c r="F151" s="3"/>
      <c r="G151" s="3"/>
      <c r="H151" s="3"/>
      <c r="I151" s="3"/>
      <c r="J151" s="3"/>
      <c r="K151" s="3"/>
      <c r="L151" s="3"/>
      <c r="M151" s="3"/>
    </row>
    <row r="152" spans="1:13" x14ac:dyDescent="0.3">
      <c r="A152" s="9"/>
      <c r="B152" s="2"/>
      <c r="C152" s="12"/>
      <c r="D152" s="3"/>
      <c r="E152" s="3"/>
      <c r="F152" s="3"/>
      <c r="G152" s="3"/>
      <c r="H152" s="3"/>
      <c r="I152" s="3"/>
      <c r="J152" s="3"/>
      <c r="K152" s="3"/>
      <c r="L152" s="3"/>
      <c r="M152" s="3"/>
    </row>
    <row r="153" spans="1:13" x14ac:dyDescent="0.3">
      <c r="A153" s="9"/>
      <c r="B153" s="2"/>
      <c r="C153" s="12"/>
      <c r="D153" s="3"/>
      <c r="E153" s="3"/>
      <c r="F153" s="3"/>
      <c r="G153" s="3"/>
      <c r="H153" s="3"/>
      <c r="I153" s="3"/>
      <c r="J153" s="3"/>
      <c r="K153" s="3"/>
      <c r="L153" s="3"/>
      <c r="M153" s="3"/>
    </row>
    <row r="154" spans="1:13" x14ac:dyDescent="0.3">
      <c r="A154" s="9"/>
      <c r="B154" s="2"/>
      <c r="C154" s="12"/>
      <c r="D154" s="3"/>
      <c r="E154" s="3"/>
      <c r="F154" s="3"/>
      <c r="G154" s="3"/>
      <c r="H154" s="3"/>
      <c r="I154" s="3"/>
      <c r="J154" s="3"/>
      <c r="K154" s="3"/>
      <c r="L154" s="3"/>
      <c r="M154" s="3"/>
    </row>
    <row r="155" spans="1:13" x14ac:dyDescent="0.3">
      <c r="A155" s="9"/>
      <c r="B155" s="2"/>
      <c r="C155" s="12"/>
      <c r="D155" s="3"/>
      <c r="E155" s="3"/>
      <c r="F155" s="3"/>
      <c r="G155" s="3"/>
      <c r="H155" s="3"/>
      <c r="I155" s="3"/>
      <c r="J155" s="3"/>
      <c r="K155" s="3"/>
      <c r="L155" s="3"/>
      <c r="M155" s="3"/>
    </row>
    <row r="156" spans="1:13" x14ac:dyDescent="0.3">
      <c r="A156" s="9"/>
      <c r="B156" s="2"/>
      <c r="C156" s="12"/>
      <c r="D156" s="3"/>
      <c r="E156" s="3"/>
      <c r="F156" s="3"/>
      <c r="G156" s="3"/>
      <c r="H156" s="3"/>
      <c r="I156" s="3"/>
      <c r="J156" s="3"/>
      <c r="K156" s="3"/>
      <c r="L156" s="3"/>
      <c r="M156" s="3"/>
    </row>
    <row r="157" spans="1:13" x14ac:dyDescent="0.3">
      <c r="A157" s="9"/>
      <c r="B157" s="2"/>
      <c r="C157" s="12"/>
      <c r="D157" s="3"/>
      <c r="E157" s="3"/>
      <c r="F157" s="3"/>
      <c r="G157" s="3"/>
      <c r="H157" s="3"/>
      <c r="I157" s="3"/>
      <c r="J157" s="3"/>
      <c r="K157" s="3"/>
      <c r="L157" s="3"/>
      <c r="M157" s="3"/>
    </row>
    <row r="158" spans="1:13" x14ac:dyDescent="0.3">
      <c r="A158" s="9"/>
      <c r="B158" s="2"/>
      <c r="C158" s="12"/>
      <c r="D158" s="3"/>
      <c r="E158" s="3"/>
      <c r="F158" s="3"/>
      <c r="G158" s="3"/>
      <c r="H158" s="3"/>
      <c r="I158" s="3"/>
      <c r="J158" s="3"/>
      <c r="K158" s="3"/>
      <c r="L158" s="3"/>
      <c r="M158" s="3"/>
    </row>
    <row r="159" spans="1:13" x14ac:dyDescent="0.3">
      <c r="A159" s="9"/>
      <c r="B159" s="2"/>
      <c r="C159" s="12"/>
      <c r="D159" s="3"/>
      <c r="E159" s="3"/>
      <c r="F159" s="3"/>
      <c r="G159" s="3"/>
      <c r="H159" s="3"/>
      <c r="I159" s="3"/>
      <c r="J159" s="3"/>
      <c r="K159" s="3"/>
      <c r="L159" s="3"/>
      <c r="M159" s="3"/>
    </row>
    <row r="160" spans="1:13" x14ac:dyDescent="0.3">
      <c r="A160" s="9"/>
      <c r="B160" s="2"/>
      <c r="C160" s="12"/>
      <c r="D160" s="3"/>
      <c r="E160" s="3"/>
      <c r="F160" s="3"/>
      <c r="G160" s="3"/>
      <c r="H160" s="3"/>
      <c r="I160" s="3"/>
      <c r="J160" s="3"/>
      <c r="K160" s="3"/>
      <c r="L160" s="3"/>
      <c r="M160" s="3"/>
    </row>
    <row r="161" spans="1:13" x14ac:dyDescent="0.3">
      <c r="A161" s="9"/>
      <c r="B161" s="2"/>
      <c r="C161" s="12"/>
      <c r="D161" s="3"/>
      <c r="E161" s="3"/>
      <c r="F161" s="3"/>
      <c r="G161" s="3"/>
      <c r="H161" s="3"/>
      <c r="I161" s="3"/>
      <c r="J161" s="3"/>
      <c r="K161" s="3"/>
      <c r="L161" s="3"/>
      <c r="M161" s="3"/>
    </row>
    <row r="162" spans="1:13" x14ac:dyDescent="0.3">
      <c r="A162" s="9"/>
      <c r="B162" s="2"/>
      <c r="C162" s="12"/>
      <c r="D162" s="3"/>
      <c r="E162" s="3"/>
      <c r="F162" s="3"/>
      <c r="G162" s="3"/>
      <c r="H162" s="3"/>
      <c r="I162" s="3"/>
      <c r="J162" s="3"/>
      <c r="K162" s="3"/>
      <c r="L162" s="3"/>
      <c r="M162" s="3"/>
    </row>
    <row r="163" spans="1:13" x14ac:dyDescent="0.3">
      <c r="A163" s="9"/>
      <c r="B163" s="2"/>
      <c r="C163" s="12"/>
      <c r="D163" s="3"/>
      <c r="E163" s="3"/>
      <c r="F163" s="3"/>
      <c r="G163" s="3"/>
      <c r="H163" s="3"/>
      <c r="I163" s="3"/>
      <c r="J163" s="3"/>
      <c r="K163" s="3"/>
      <c r="L163" s="3"/>
      <c r="M163" s="3"/>
    </row>
    <row r="164" spans="1:13" x14ac:dyDescent="0.3">
      <c r="A164" s="9"/>
      <c r="B164" s="2"/>
      <c r="C164" s="12"/>
      <c r="D164" s="3"/>
      <c r="E164" s="3"/>
      <c r="F164" s="3"/>
      <c r="G164" s="3"/>
      <c r="H164" s="3"/>
      <c r="I164" s="3"/>
      <c r="J164" s="3"/>
      <c r="K164" s="3"/>
      <c r="L164" s="3"/>
      <c r="M164" s="3"/>
    </row>
    <row r="165" spans="1:13" x14ac:dyDescent="0.3">
      <c r="A165" s="9"/>
      <c r="B165" s="2"/>
      <c r="C165" s="12"/>
      <c r="D165" s="3"/>
      <c r="E165" s="3"/>
      <c r="F165" s="3"/>
      <c r="G165" s="3"/>
      <c r="H165" s="3"/>
      <c r="I165" s="3"/>
      <c r="J165" s="3"/>
      <c r="K165" s="3"/>
      <c r="L165" s="3"/>
      <c r="M165" s="3"/>
    </row>
    <row r="166" spans="1:13" x14ac:dyDescent="0.3">
      <c r="A166" s="9"/>
      <c r="B166" s="2"/>
      <c r="C166" s="12"/>
      <c r="D166" s="3"/>
      <c r="E166" s="3"/>
      <c r="F166" s="3"/>
      <c r="G166" s="3"/>
      <c r="H166" s="3"/>
      <c r="I166" s="3"/>
      <c r="J166" s="3"/>
      <c r="K166" s="3"/>
      <c r="L166" s="3"/>
      <c r="M166" s="3"/>
    </row>
    <row r="167" spans="1:13" x14ac:dyDescent="0.3">
      <c r="A167" s="9"/>
      <c r="B167" s="2"/>
      <c r="C167" s="12"/>
      <c r="D167" s="3"/>
      <c r="E167" s="3"/>
      <c r="F167" s="3"/>
      <c r="G167" s="3"/>
      <c r="H167" s="3"/>
      <c r="I167" s="3"/>
      <c r="J167" s="3"/>
      <c r="K167" s="3"/>
      <c r="L167" s="3"/>
      <c r="M167" s="3"/>
    </row>
    <row r="168" spans="1:13" x14ac:dyDescent="0.3">
      <c r="A168" s="9"/>
      <c r="B168" s="2"/>
      <c r="C168" s="12"/>
      <c r="D168" s="3"/>
      <c r="E168" s="3"/>
      <c r="F168" s="3"/>
      <c r="G168" s="3"/>
      <c r="H168" s="3"/>
      <c r="I168" s="3"/>
      <c r="J168" s="3"/>
      <c r="K168" s="3"/>
      <c r="L168" s="3"/>
      <c r="M168" s="3"/>
    </row>
    <row r="169" spans="1:13" x14ac:dyDescent="0.3">
      <c r="A169" s="9"/>
      <c r="B169" s="2"/>
      <c r="C169" s="12"/>
      <c r="D169" s="3"/>
      <c r="E169" s="3"/>
      <c r="F169" s="3"/>
      <c r="G169" s="3"/>
      <c r="H169" s="3"/>
      <c r="I169" s="3"/>
      <c r="J169" s="3"/>
      <c r="K169" s="3"/>
      <c r="L169" s="3"/>
      <c r="M169" s="3"/>
    </row>
    <row r="170" spans="1:13" x14ac:dyDescent="0.3">
      <c r="A170" s="9"/>
      <c r="B170" s="2"/>
      <c r="C170" s="12"/>
      <c r="D170" s="3"/>
      <c r="E170" s="3"/>
      <c r="F170" s="3"/>
      <c r="G170" s="3"/>
      <c r="H170" s="3"/>
      <c r="I170" s="3"/>
      <c r="J170" s="3"/>
      <c r="K170" s="3"/>
      <c r="L170" s="3"/>
      <c r="M170" s="3"/>
    </row>
    <row r="171" spans="1:13" x14ac:dyDescent="0.3">
      <c r="A171" s="9"/>
      <c r="B171" s="2"/>
      <c r="C171" s="12"/>
      <c r="D171" s="3"/>
      <c r="E171" s="3"/>
      <c r="F171" s="3"/>
      <c r="G171" s="3"/>
      <c r="H171" s="3"/>
      <c r="I171" s="3"/>
      <c r="J171" s="3"/>
      <c r="K171" s="3"/>
      <c r="L171" s="3"/>
      <c r="M171" s="3"/>
    </row>
    <row r="172" spans="1:13" x14ac:dyDescent="0.3">
      <c r="A172" s="9"/>
      <c r="B172" s="2"/>
      <c r="C172" s="12"/>
      <c r="D172" s="3"/>
      <c r="E172" s="3"/>
      <c r="F172" s="3"/>
      <c r="G172" s="3"/>
      <c r="H172" s="3"/>
      <c r="I172" s="3"/>
      <c r="J172" s="3"/>
      <c r="K172" s="3"/>
      <c r="L172" s="3"/>
      <c r="M172" s="3"/>
    </row>
    <row r="173" spans="1:13" x14ac:dyDescent="0.3">
      <c r="A173" s="9"/>
      <c r="B173" s="2"/>
      <c r="C173" s="12"/>
      <c r="D173" s="3"/>
      <c r="E173" s="3"/>
      <c r="F173" s="3"/>
      <c r="G173" s="3"/>
      <c r="H173" s="3"/>
      <c r="I173" s="3"/>
      <c r="J173" s="3"/>
      <c r="K173" s="3"/>
      <c r="L173" s="3"/>
      <c r="M173" s="3"/>
    </row>
    <row r="174" spans="1:13" x14ac:dyDescent="0.3">
      <c r="A174" s="9"/>
      <c r="B174" s="2"/>
      <c r="C174" s="12"/>
      <c r="D174" s="3"/>
      <c r="E174" s="3"/>
      <c r="F174" s="3"/>
      <c r="G174" s="3"/>
      <c r="H174" s="3"/>
      <c r="I174" s="3"/>
      <c r="J174" s="3"/>
      <c r="K174" s="3"/>
      <c r="L174" s="3"/>
      <c r="M174" s="3"/>
    </row>
    <row r="175" spans="1:13" x14ac:dyDescent="0.3">
      <c r="A175" s="9"/>
      <c r="B175" s="2"/>
      <c r="C175" s="12"/>
      <c r="D175" s="3"/>
      <c r="E175" s="3"/>
      <c r="F175" s="3"/>
      <c r="G175" s="3"/>
      <c r="H175" s="3"/>
      <c r="I175" s="3"/>
      <c r="J175" s="3"/>
      <c r="K175" s="3"/>
      <c r="L175" s="3"/>
      <c r="M175" s="3"/>
    </row>
    <row r="176" spans="1:13" x14ac:dyDescent="0.3">
      <c r="A176" s="9"/>
      <c r="B176" s="2"/>
      <c r="C176" s="12"/>
      <c r="D176" s="3"/>
      <c r="E176" s="3"/>
      <c r="F176" s="3"/>
      <c r="G176" s="3"/>
      <c r="H176" s="3"/>
      <c r="I176" s="3"/>
      <c r="J176" s="3"/>
      <c r="K176" s="3"/>
      <c r="L176" s="3"/>
      <c r="M176" s="3"/>
    </row>
    <row r="177" spans="1:13" x14ac:dyDescent="0.3">
      <c r="A177" s="9"/>
      <c r="B177" s="2"/>
      <c r="C177" s="12"/>
      <c r="D177" s="3"/>
      <c r="E177" s="3"/>
      <c r="F177" s="3"/>
      <c r="G177" s="3"/>
      <c r="H177" s="3"/>
      <c r="I177" s="3"/>
      <c r="J177" s="3"/>
      <c r="K177" s="3"/>
      <c r="L177" s="3"/>
      <c r="M177" s="3"/>
    </row>
    <row r="178" spans="1:13" x14ac:dyDescent="0.3">
      <c r="A178" s="9"/>
      <c r="B178" s="2"/>
      <c r="C178" s="12"/>
      <c r="D178" s="3"/>
      <c r="E178" s="3"/>
      <c r="F178" s="3"/>
      <c r="G178" s="3"/>
      <c r="H178" s="3"/>
      <c r="I178" s="3"/>
      <c r="J178" s="3"/>
      <c r="K178" s="3"/>
      <c r="L178" s="3"/>
      <c r="M178" s="3"/>
    </row>
    <row r="179" spans="1:13" x14ac:dyDescent="0.3">
      <c r="A179" s="9"/>
      <c r="B179" s="2"/>
      <c r="C179" s="12"/>
      <c r="D179" s="3"/>
      <c r="E179" s="3"/>
      <c r="F179" s="3"/>
      <c r="G179" s="3"/>
      <c r="H179" s="3"/>
      <c r="I179" s="3"/>
      <c r="J179" s="3"/>
      <c r="K179" s="3"/>
      <c r="L179" s="3"/>
      <c r="M179" s="3"/>
    </row>
    <row r="180" spans="1:13" x14ac:dyDescent="0.3">
      <c r="A180" s="9"/>
      <c r="B180" s="2"/>
      <c r="C180" s="12"/>
      <c r="D180" s="3"/>
      <c r="E180" s="3"/>
      <c r="F180" s="3"/>
      <c r="G180" s="3"/>
      <c r="H180" s="3"/>
      <c r="I180" s="3"/>
      <c r="J180" s="3"/>
      <c r="K180" s="3"/>
      <c r="L180" s="3"/>
      <c r="M180" s="3"/>
    </row>
    <row r="181" spans="1:13" x14ac:dyDescent="0.3">
      <c r="A181" s="9"/>
      <c r="B181" s="2"/>
      <c r="C181" s="12"/>
      <c r="D181" s="3"/>
      <c r="E181" s="3"/>
      <c r="F181" s="3"/>
      <c r="G181" s="3"/>
      <c r="H181" s="3"/>
      <c r="I181" s="3"/>
      <c r="J181" s="3"/>
      <c r="K181" s="3"/>
      <c r="L181" s="3"/>
      <c r="M181" s="3"/>
    </row>
    <row r="182" spans="1:13" x14ac:dyDescent="0.3">
      <c r="A182" s="9"/>
      <c r="B182" s="2"/>
      <c r="C182" s="12"/>
      <c r="D182" s="3"/>
      <c r="E182" s="3"/>
      <c r="F182" s="3"/>
      <c r="G182" s="3"/>
      <c r="H182" s="3"/>
      <c r="I182" s="3"/>
      <c r="J182" s="3"/>
      <c r="K182" s="3"/>
      <c r="L182" s="3"/>
      <c r="M182" s="3"/>
    </row>
    <row r="183" spans="1:13" x14ac:dyDescent="0.3">
      <c r="A183" s="9"/>
      <c r="B183" s="2"/>
      <c r="C183" s="12"/>
      <c r="D183" s="3"/>
      <c r="E183" s="3"/>
      <c r="F183" s="3"/>
      <c r="G183" s="3"/>
      <c r="H183" s="3"/>
      <c r="I183" s="3"/>
      <c r="J183" s="3"/>
      <c r="K183" s="3"/>
      <c r="L183" s="3"/>
      <c r="M183" s="3"/>
    </row>
    <row r="184" spans="1:13" x14ac:dyDescent="0.3">
      <c r="A184" s="9"/>
      <c r="B184" s="2"/>
      <c r="C184" s="12"/>
      <c r="D184" s="3"/>
      <c r="E184" s="3"/>
      <c r="F184" s="3"/>
      <c r="G184" s="3"/>
      <c r="H184" s="3"/>
      <c r="I184" s="3"/>
      <c r="J184" s="3"/>
      <c r="K184" s="3"/>
      <c r="L184" s="3"/>
      <c r="M184" s="3"/>
    </row>
    <row r="185" spans="1:13" x14ac:dyDescent="0.3">
      <c r="A185" s="9"/>
      <c r="B185" s="2"/>
      <c r="C185" s="12"/>
      <c r="D185" s="3"/>
      <c r="E185" s="3"/>
      <c r="F185" s="3"/>
      <c r="G185" s="3"/>
      <c r="H185" s="3"/>
      <c r="I185" s="3"/>
      <c r="J185" s="3"/>
      <c r="K185" s="3"/>
      <c r="L185" s="3"/>
      <c r="M185" s="3"/>
    </row>
    <row r="186" spans="1:13" x14ac:dyDescent="0.3">
      <c r="A186" s="9"/>
      <c r="B186" s="2"/>
      <c r="C186" s="12"/>
      <c r="D186" s="3"/>
      <c r="E186" s="3"/>
      <c r="F186" s="3"/>
      <c r="G186" s="3"/>
      <c r="H186" s="3"/>
      <c r="I186" s="3"/>
      <c r="J186" s="3"/>
      <c r="K186" s="3"/>
      <c r="L186" s="3"/>
      <c r="M186" s="3"/>
    </row>
    <row r="187" spans="1:13" x14ac:dyDescent="0.3">
      <c r="A187" s="9"/>
      <c r="B187" s="2"/>
      <c r="C187" s="12"/>
      <c r="D187" s="3"/>
      <c r="E187" s="3"/>
      <c r="F187" s="3"/>
      <c r="G187" s="3"/>
      <c r="H187" s="3"/>
      <c r="I187" s="3"/>
      <c r="J187" s="3"/>
      <c r="K187" s="3"/>
      <c r="L187" s="3"/>
      <c r="M187" s="3"/>
    </row>
    <row r="188" spans="1:13" x14ac:dyDescent="0.3">
      <c r="A188" s="9"/>
      <c r="B188" s="2"/>
      <c r="C188" s="12"/>
      <c r="D188" s="3"/>
      <c r="E188" s="3"/>
      <c r="F188" s="3"/>
      <c r="G188" s="3"/>
      <c r="H188" s="3"/>
      <c r="I188" s="3"/>
      <c r="J188" s="3"/>
      <c r="K188" s="3"/>
      <c r="L188" s="3"/>
      <c r="M188" s="3"/>
    </row>
    <row r="189" spans="1:13" x14ac:dyDescent="0.3">
      <c r="A189" s="9"/>
      <c r="B189" s="2"/>
      <c r="C189" s="12"/>
      <c r="D189" s="3"/>
      <c r="E189" s="3"/>
      <c r="F189" s="3"/>
      <c r="G189" s="3"/>
      <c r="H189" s="3"/>
      <c r="I189" s="3"/>
      <c r="J189" s="3"/>
      <c r="K189" s="3"/>
      <c r="L189" s="3"/>
      <c r="M189" s="3"/>
    </row>
    <row r="190" spans="1:13" x14ac:dyDescent="0.3">
      <c r="A190" s="9"/>
      <c r="B190" s="2"/>
      <c r="C190" s="12"/>
      <c r="D190" s="3"/>
      <c r="E190" s="3"/>
      <c r="F190" s="3"/>
      <c r="G190" s="3"/>
      <c r="H190" s="3"/>
      <c r="I190" s="3"/>
      <c r="J190" s="3"/>
      <c r="K190" s="3"/>
      <c r="L190" s="3"/>
      <c r="M190" s="3"/>
    </row>
    <row r="191" spans="1:13" x14ac:dyDescent="0.3">
      <c r="A191" s="9"/>
      <c r="B191" s="2"/>
      <c r="C191" s="12"/>
      <c r="D191" s="3"/>
      <c r="E191" s="3"/>
      <c r="F191" s="3"/>
      <c r="G191" s="3"/>
      <c r="H191" s="3"/>
      <c r="I191" s="3"/>
      <c r="J191" s="3"/>
      <c r="K191" s="3"/>
      <c r="L191" s="3"/>
      <c r="M191" s="3"/>
    </row>
    <row r="192" spans="1:13" x14ac:dyDescent="0.3">
      <c r="A192" s="9"/>
      <c r="B192" s="2"/>
      <c r="C192" s="12"/>
      <c r="D192" s="3"/>
      <c r="E192" s="3"/>
      <c r="F192" s="3"/>
      <c r="G192" s="3"/>
      <c r="H192" s="3"/>
      <c r="I192" s="3"/>
      <c r="J192" s="3"/>
      <c r="K192" s="3"/>
      <c r="L192" s="3"/>
      <c r="M192" s="3"/>
    </row>
    <row r="193" spans="1:13" x14ac:dyDescent="0.3">
      <c r="A193" s="9"/>
      <c r="B193" s="2"/>
      <c r="C193" s="12"/>
      <c r="D193" s="3"/>
      <c r="E193" s="3"/>
      <c r="F193" s="3"/>
      <c r="G193" s="3"/>
      <c r="H193" s="3"/>
      <c r="I193" s="3"/>
      <c r="J193" s="3"/>
      <c r="K193" s="3"/>
      <c r="L193" s="3"/>
      <c r="M193" s="3"/>
    </row>
    <row r="194" spans="1:13" x14ac:dyDescent="0.3">
      <c r="A194" s="9"/>
      <c r="B194" s="2"/>
      <c r="C194" s="12"/>
      <c r="D194" s="3"/>
      <c r="E194" s="3"/>
      <c r="F194" s="3"/>
      <c r="G194" s="3"/>
      <c r="H194" s="3"/>
      <c r="I194" s="3"/>
      <c r="J194" s="3"/>
      <c r="K194" s="3"/>
      <c r="L194" s="3"/>
      <c r="M194" s="3"/>
    </row>
    <row r="195" spans="1:13" x14ac:dyDescent="0.3">
      <c r="A195" s="9"/>
      <c r="B195" s="2"/>
      <c r="C195" s="12"/>
      <c r="D195" s="3"/>
      <c r="E195" s="3"/>
      <c r="F195" s="3"/>
      <c r="G195" s="3"/>
      <c r="H195" s="3"/>
      <c r="I195" s="3"/>
      <c r="J195" s="3"/>
      <c r="K195" s="3"/>
      <c r="L195" s="3"/>
      <c r="M195" s="3"/>
    </row>
    <row r="196" spans="1:13" x14ac:dyDescent="0.3">
      <c r="A196" s="9"/>
      <c r="B196" s="2"/>
      <c r="C196" s="12"/>
      <c r="D196" s="3"/>
      <c r="E196" s="3"/>
      <c r="F196" s="3"/>
      <c r="G196" s="3"/>
      <c r="H196" s="3"/>
      <c r="I196" s="3"/>
      <c r="J196" s="3"/>
      <c r="K196" s="3"/>
      <c r="L196" s="3"/>
      <c r="M196" s="3"/>
    </row>
    <row r="197" spans="1:13" x14ac:dyDescent="0.3">
      <c r="A197" s="9"/>
      <c r="B197" s="2"/>
      <c r="C197" s="12"/>
      <c r="D197" s="3"/>
      <c r="E197" s="3"/>
      <c r="F197" s="3"/>
      <c r="G197" s="3"/>
      <c r="H197" s="3"/>
      <c r="I197" s="3"/>
      <c r="J197" s="3"/>
      <c r="K197" s="3"/>
      <c r="L197" s="3"/>
      <c r="M197" s="3"/>
    </row>
    <row r="198" spans="1:13" x14ac:dyDescent="0.3">
      <c r="A198" s="9"/>
      <c r="B198" s="2"/>
      <c r="C198" s="12"/>
      <c r="D198" s="3"/>
      <c r="E198" s="3"/>
      <c r="F198" s="3"/>
      <c r="G198" s="3"/>
      <c r="H198" s="3"/>
      <c r="I198" s="3"/>
      <c r="J198" s="3"/>
      <c r="K198" s="3"/>
      <c r="L198" s="3"/>
      <c r="M198" s="3"/>
    </row>
    <row r="199" spans="1:13" x14ac:dyDescent="0.3">
      <c r="A199" s="9"/>
      <c r="B199" s="2"/>
      <c r="C199" s="12"/>
      <c r="D199" s="3"/>
      <c r="E199" s="3"/>
      <c r="F199" s="3"/>
      <c r="G199" s="3"/>
      <c r="H199" s="3"/>
      <c r="I199" s="3"/>
      <c r="J199" s="3"/>
      <c r="K199" s="3"/>
      <c r="L199" s="3"/>
      <c r="M199" s="3"/>
    </row>
    <row r="200" spans="1:13" x14ac:dyDescent="0.3">
      <c r="A200" s="9"/>
      <c r="B200" s="2"/>
      <c r="C200" s="12"/>
      <c r="D200" s="3"/>
      <c r="E200" s="3"/>
      <c r="F200" s="3"/>
      <c r="G200" s="3"/>
      <c r="H200" s="3"/>
      <c r="I200" s="3"/>
      <c r="J200" s="3"/>
      <c r="K200" s="3"/>
      <c r="L200" s="3"/>
      <c r="M200" s="3"/>
    </row>
    <row r="201" spans="1:13" x14ac:dyDescent="0.3">
      <c r="A201" s="9"/>
      <c r="B201" s="2"/>
      <c r="C201" s="12"/>
      <c r="D201" s="3"/>
      <c r="E201" s="3"/>
      <c r="F201" s="3"/>
      <c r="G201" s="3"/>
      <c r="H201" s="3"/>
      <c r="I201" s="3"/>
      <c r="J201" s="3"/>
      <c r="K201" s="3"/>
      <c r="L201" s="3"/>
      <c r="M201" s="3"/>
    </row>
    <row r="202" spans="1:13" x14ac:dyDescent="0.3">
      <c r="A202" s="9"/>
      <c r="B202" s="2"/>
      <c r="C202" s="12"/>
      <c r="D202" s="3"/>
      <c r="E202" s="3"/>
      <c r="F202" s="3"/>
      <c r="G202" s="3"/>
      <c r="H202" s="3"/>
      <c r="I202" s="3"/>
      <c r="J202" s="3"/>
      <c r="K202" s="3"/>
      <c r="L202" s="3"/>
      <c r="M202" s="3"/>
    </row>
    <row r="203" spans="1:13" hidden="1" x14ac:dyDescent="0.3"/>
  </sheetData>
  <mergeCells count="1">
    <mergeCell ref="C1:M1"/>
  </mergeCells>
  <conditionalFormatting sqref="A4:A202">
    <cfRule type="expression" dxfId="1" priority="4">
      <formula>AND($A4&lt;&gt;"",WEEKDAY($A4,2)&gt;5)</formula>
    </cfRule>
  </conditionalFormatting>
  <conditionalFormatting sqref="A3">
    <cfRule type="expression" dxfId="0" priority="1">
      <formula>AND($A3&lt;&gt;"",WEEKDAY($A3,2)&gt;5)</formula>
    </cfRule>
  </conditionalFormatting>
  <dataValidations count="2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A4:A202">
      <formula1>42005</formula1>
      <formula2>2958465</formula2>
    </dataValidation>
    <dataValidation type="custom" showInputMessage="1" showErrorMessage="1" errorTitle="Input Error" error="1. Completed Scope should be less than Scope for that Day._x000a_2. Cumuluative Scope should &lt;= Total Scope" sqref="C3:C202">
      <formula1>AND($C3&lt;=$B3,SUM($C$3:$C3)&lt;=LOOKUP(10^99,$B$3:$B$202))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121920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204"/>
  <sheetViews>
    <sheetView workbookViewId="0">
      <pane ySplit="1" topLeftCell="A2" activePane="bottomLeft" state="frozen"/>
      <selection pane="bottomLeft" activeCell="D16" sqref="D16"/>
    </sheetView>
  </sheetViews>
  <sheetFormatPr defaultColWidth="0" defaultRowHeight="14.4" x14ac:dyDescent="0.3"/>
  <cols>
    <col min="1" max="1" width="16.109375" style="2" bestFit="1" customWidth="1"/>
    <col min="2" max="2" width="15.109375" style="2" customWidth="1"/>
    <col min="3" max="3" width="16.6640625" style="2" bestFit="1" customWidth="1"/>
    <col min="4" max="4" width="17.44140625" style="7" customWidth="1"/>
    <col min="5" max="11" width="7.6640625" style="2" bestFit="1" customWidth="1"/>
    <col min="12" max="13" width="8.6640625" style="2" bestFit="1" customWidth="1"/>
    <col min="14" max="15" width="9.5546875" style="2" bestFit="1" customWidth="1"/>
    <col min="16" max="17" width="9.33203125" style="2" bestFit="1" customWidth="1"/>
    <col min="18" max="62" width="9.109375" style="2" customWidth="1"/>
    <col min="63" max="16384" width="9.109375" style="2" hidden="1"/>
  </cols>
  <sheetData>
    <row r="1" spans="1:62" s="1" customFormat="1" x14ac:dyDescent="0.3">
      <c r="A1" s="1" t="s">
        <v>2</v>
      </c>
      <c r="B1" s="1" t="str">
        <f>IF('Burnup Chart'!$L$2="","Scope Planned",'Burnup Chart'!$L$2)</f>
        <v>Scope Planned</v>
      </c>
      <c r="C1" s="1" t="str">
        <f>IF('Burnup Chart'!$L$3="","Scope Completed",'Burnup Chart'!$L$3)</f>
        <v>Scope Completed</v>
      </c>
      <c r="D1" s="6" t="str">
        <f>IF('Burnup Chart'!$L$4="","Ideal Burnup",'Burnup Chart'!$L$4)</f>
        <v>Ideal Burnup</v>
      </c>
      <c r="E1" s="8"/>
      <c r="F1" s="8"/>
      <c r="G1" s="8"/>
      <c r="H1" s="8"/>
      <c r="I1" s="8"/>
      <c r="J1" s="8"/>
      <c r="K1" s="8"/>
      <c r="L1" s="8"/>
      <c r="M1" s="8"/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7" customFormat="1" x14ac:dyDescent="0.3">
      <c r="A2" s="7" t="s">
        <v>0</v>
      </c>
      <c r="B2">
        <f>IFERROR(LOOKUP(10^99,Input!$B$3:$B$202),0)</f>
        <v>40</v>
      </c>
      <c r="C2">
        <f>IF(Input!$C2="",NA(),SUM(Input!$C$3:'Input'!$C2))</f>
        <v>0</v>
      </c>
      <c r="D2" s="4">
        <v>0</v>
      </c>
      <c r="N2" s="7" t="str">
        <f t="shared" ref="N2:AH2" si="0">IF(N$1="","",M$2-$B$2/(SUMPRODUCT(--($C$1:$BJ$1&lt;&gt;""))))</f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ref="AI2:BJ2" si="1">IF(AI$1="","",AH$2-$B$2/(SUMPRODUCT(--($C$1:$BJ$1&lt;&gt;""))))</f>
        <v/>
      </c>
      <c r="AJ2" s="7" t="str">
        <f t="shared" si="1"/>
        <v/>
      </c>
      <c r="AK2" s="7" t="str">
        <f t="shared" si="1"/>
        <v/>
      </c>
      <c r="AL2" s="7" t="str">
        <f t="shared" si="1"/>
        <v/>
      </c>
      <c r="AM2" s="7" t="str">
        <f t="shared" si="1"/>
        <v/>
      </c>
      <c r="AN2" s="7" t="str">
        <f t="shared" si="1"/>
        <v/>
      </c>
      <c r="AO2" s="7" t="str">
        <f t="shared" si="1"/>
        <v/>
      </c>
      <c r="AP2" s="7" t="str">
        <f t="shared" si="1"/>
        <v/>
      </c>
      <c r="AQ2" s="7" t="str">
        <f t="shared" si="1"/>
        <v/>
      </c>
      <c r="AR2" s="7" t="str">
        <f t="shared" si="1"/>
        <v/>
      </c>
      <c r="AS2" s="7" t="str">
        <f t="shared" si="1"/>
        <v/>
      </c>
      <c r="AT2" s="7" t="str">
        <f t="shared" si="1"/>
        <v/>
      </c>
      <c r="AU2" s="7" t="str">
        <f t="shared" si="1"/>
        <v/>
      </c>
      <c r="AV2" s="7" t="str">
        <f t="shared" si="1"/>
        <v/>
      </c>
      <c r="AW2" s="7" t="str">
        <f t="shared" si="1"/>
        <v/>
      </c>
      <c r="AX2" s="7" t="str">
        <f t="shared" si="1"/>
        <v/>
      </c>
      <c r="AY2" s="7" t="str">
        <f t="shared" si="1"/>
        <v/>
      </c>
      <c r="AZ2" s="7" t="str">
        <f t="shared" si="1"/>
        <v/>
      </c>
      <c r="BA2" s="7" t="str">
        <f t="shared" si="1"/>
        <v/>
      </c>
      <c r="BB2" s="7" t="str">
        <f t="shared" si="1"/>
        <v/>
      </c>
      <c r="BC2" s="7" t="str">
        <f t="shared" si="1"/>
        <v/>
      </c>
      <c r="BD2" s="7" t="str">
        <f t="shared" si="1"/>
        <v/>
      </c>
      <c r="BE2" s="7" t="str">
        <f t="shared" si="1"/>
        <v/>
      </c>
      <c r="BF2" s="7" t="str">
        <f t="shared" si="1"/>
        <v/>
      </c>
      <c r="BG2" s="7" t="str">
        <f t="shared" si="1"/>
        <v/>
      </c>
      <c r="BH2" s="7" t="str">
        <f t="shared" si="1"/>
        <v/>
      </c>
      <c r="BI2" s="7" t="str">
        <f t="shared" si="1"/>
        <v/>
      </c>
      <c r="BJ2" s="7" t="str">
        <f t="shared" si="1"/>
        <v/>
      </c>
    </row>
    <row r="3" spans="1:62" s="7" customFormat="1" x14ac:dyDescent="0.3">
      <c r="A3" s="11">
        <f>IF(Input!$A3="","",Input!$A3)</f>
        <v>43125</v>
      </c>
      <c r="B3">
        <f>IF(Input!$B3="","",Input!$B3)</f>
        <v>20</v>
      </c>
      <c r="C3">
        <f>IF(Input!$C3="",NA(),SUM(Input!$C$3:'Input'!$C3))</f>
        <v>0</v>
      </c>
      <c r="D3" s="4">
        <f>IF($A3="","",$D2+$B$2/SUMPRODUCT(--($A$3:$A$202&lt;&gt;"")))</f>
        <v>2.5</v>
      </c>
      <c r="N3" s="7" t="str">
        <f>IF(N$1="","",SUM(Input!N$3:N$202))</f>
        <v/>
      </c>
      <c r="O3" s="7" t="str">
        <f>IF(O$1="","",SUM(Input!O$3:O$202))</f>
        <v/>
      </c>
      <c r="P3" s="7" t="str">
        <f>IF(P$1="","",SUM(Input!P$3:P$202))</f>
        <v/>
      </c>
      <c r="Q3" s="7" t="str">
        <f>IF(Q$1="","",SUM(Input!Q$3:Q$202))</f>
        <v/>
      </c>
      <c r="R3" s="7" t="str">
        <f>IF(R$1="","",SUM(Input!R$3:R$202))</f>
        <v/>
      </c>
      <c r="S3" s="7" t="str">
        <f>IF(S$1="","",SUM(Input!S$3:S$202))</f>
        <v/>
      </c>
      <c r="T3" s="7" t="str">
        <f>IF(T$1="","",SUM(Input!T$3:T$202))</f>
        <v/>
      </c>
      <c r="U3" s="7" t="str">
        <f>IF(U$1="","",SUM(Input!U$3:U$202))</f>
        <v/>
      </c>
      <c r="V3" s="7" t="str">
        <f>IF(V$1="","",SUM(Input!V$3:V$202))</f>
        <v/>
      </c>
      <c r="W3" s="7" t="str">
        <f>IF(W$1="","",SUM(Input!W$3:W$202))</f>
        <v/>
      </c>
      <c r="X3" s="7" t="str">
        <f>IF(X$1="","",SUM(Input!X$3:X$202))</f>
        <v/>
      </c>
      <c r="Y3" s="7" t="str">
        <f>IF(Y$1="","",SUM(Input!Y$3:Y$202))</f>
        <v/>
      </c>
      <c r="Z3" s="7" t="str">
        <f>IF(Z$1="","",SUM(Input!Z$3:Z$202))</f>
        <v/>
      </c>
      <c r="AA3" s="7" t="str">
        <f>IF(AA$1="","",SUM(Input!AA$3:AA$202))</f>
        <v/>
      </c>
      <c r="AB3" s="7" t="str">
        <f>IF(AB$1="","",SUM(Input!AB$3:AB$202))</f>
        <v/>
      </c>
      <c r="AC3" s="7" t="str">
        <f>IF(AC$1="","",SUM(Input!AC$3:AC$202))</f>
        <v/>
      </c>
      <c r="AD3" s="7" t="str">
        <f>IF(AD$1="","",SUM(Input!AD$3:AD$202))</f>
        <v/>
      </c>
      <c r="AE3" s="7" t="str">
        <f>IF(AE$1="","",SUM(Input!AE$3:AE$202))</f>
        <v/>
      </c>
      <c r="AF3" s="7" t="str">
        <f>IF(AF$1="","",SUM(Input!AF$3:AF$202))</f>
        <v/>
      </c>
      <c r="AG3" s="7" t="str">
        <f>IF(AG$1="","",SUM(Input!AG$3:AG$202))</f>
        <v/>
      </c>
      <c r="AH3" s="7" t="str">
        <f>IF(AH$1="","",SUM(Input!AH$3:AH$202))</f>
        <v/>
      </c>
      <c r="AI3" s="7" t="str">
        <f>IF(AI$1="","",SUM(Input!AI$3:AI$202))</f>
        <v/>
      </c>
      <c r="AJ3" s="7" t="str">
        <f>IF(AJ$1="","",SUM(Input!AJ$3:AJ$202))</f>
        <v/>
      </c>
      <c r="AK3" s="7" t="str">
        <f>IF(AK$1="","",SUM(Input!AK$3:AK$202))</f>
        <v/>
      </c>
      <c r="AL3" s="7" t="str">
        <f>IF(AL$1="","",SUM(Input!AL$3:AL$202))</f>
        <v/>
      </c>
      <c r="AM3" s="7" t="str">
        <f>IF(AM$1="","",SUM(Input!AM$3:AM$202))</f>
        <v/>
      </c>
      <c r="AN3" s="7" t="str">
        <f>IF(AN$1="","",SUM(Input!AN$3:AN$202))</f>
        <v/>
      </c>
      <c r="AO3" s="7" t="str">
        <f>IF(AO$1="","",SUM(Input!AO$3:AO$202))</f>
        <v/>
      </c>
      <c r="AP3" s="7" t="str">
        <f>IF(AP$1="","",SUM(Input!AP$3:AP$202))</f>
        <v/>
      </c>
      <c r="AQ3" s="7" t="str">
        <f>IF(AQ$1="","",SUM(Input!AQ$3:AQ$202))</f>
        <v/>
      </c>
      <c r="AR3" s="7" t="str">
        <f>IF(AR$1="","",SUM(Input!AR$3:AR$202))</f>
        <v/>
      </c>
      <c r="AS3" s="7" t="str">
        <f>IF(AS$1="","",SUM(Input!AS$3:AS$202))</f>
        <v/>
      </c>
      <c r="AT3" s="7" t="str">
        <f>IF(AT$1="","",SUM(Input!AT$3:AT$202))</f>
        <v/>
      </c>
      <c r="AU3" s="7" t="str">
        <f>IF(AU$1="","",SUM(Input!AU$3:AU$202))</f>
        <v/>
      </c>
      <c r="AV3" s="7" t="str">
        <f>IF(AV$1="","",SUM(Input!AV$3:AV$202))</f>
        <v/>
      </c>
      <c r="AW3" s="7" t="str">
        <f>IF(AW$1="","",SUM(Input!AW$3:AW$202))</f>
        <v/>
      </c>
      <c r="AX3" s="7" t="str">
        <f>IF(AX$1="","",SUM(Input!AX$3:AX$202))</f>
        <v/>
      </c>
      <c r="AY3" s="7" t="str">
        <f>IF(AY$1="","",SUM(Input!AY$3:AY$202))</f>
        <v/>
      </c>
      <c r="AZ3" s="7" t="str">
        <f>IF(AZ$1="","",SUM(Input!AZ$3:AZ$202))</f>
        <v/>
      </c>
      <c r="BA3" s="7" t="str">
        <f>IF(BA$1="","",SUM(Input!BA$3:BA$202))</f>
        <v/>
      </c>
      <c r="BB3" s="7" t="str">
        <f>IF(BB$1="","",SUM(Input!BB$3:BB$202))</f>
        <v/>
      </c>
      <c r="BC3" s="7" t="str">
        <f>IF(BC$1="","",SUM(Input!BC$3:BC$202))</f>
        <v/>
      </c>
      <c r="BD3" s="7" t="str">
        <f>IF(BD$1="","",SUM(Input!BD$3:BD$202))</f>
        <v/>
      </c>
      <c r="BE3" s="7" t="str">
        <f>IF(BE$1="","",SUM(Input!BE$3:BE$202))</f>
        <v/>
      </c>
      <c r="BF3" s="7" t="str">
        <f>IF(BF$1="","",SUM(Input!BF$3:BF$202))</f>
        <v/>
      </c>
      <c r="BG3" s="7" t="str">
        <f>IF(BG$1="","",SUM(Input!BG$3:BG$202))</f>
        <v/>
      </c>
      <c r="BH3" s="7" t="str">
        <f>IF(BH$1="","",SUM(Input!BH$3:BH$202))</f>
        <v/>
      </c>
      <c r="BI3" s="7" t="str">
        <f>IF(BI$1="","",SUM(Input!BI$3:BI$202))</f>
        <v/>
      </c>
      <c r="BJ3" s="7" t="str">
        <f>IF(BJ$1="","",SUM(Input!BJ$3:BJ$202))</f>
        <v/>
      </c>
    </row>
    <row r="4" spans="1:62" x14ac:dyDescent="0.3">
      <c r="A4" s="11">
        <f>IF(Input!$A4="","",Input!$A4)</f>
        <v>43126</v>
      </c>
      <c r="B4">
        <f>IF(Input!$B4="","",Input!$B4)</f>
        <v>30</v>
      </c>
      <c r="C4">
        <f>IF(Input!$C4="",NA(),SUM(Input!$C$3:'Input'!$C4))</f>
        <v>3</v>
      </c>
      <c r="D4" s="4">
        <f t="shared" ref="D4:D67" si="2">IF($A4="","",$D3+$B$2/SUMPRODUCT(--($A$3:$A$202&lt;&gt;"")))</f>
        <v>5</v>
      </c>
      <c r="N4" s="2" t="str">
        <f>IF(N$1="","",CountCTs(Input!N$3:N$202))</f>
        <v/>
      </c>
      <c r="O4" s="2" t="str">
        <f>IF(O$1="","",CountCTs(Input!O$3:O$202))</f>
        <v/>
      </c>
      <c r="P4" s="2" t="str">
        <f>IF(P$1="","",CountCTs(Input!P$3:P$202))</f>
        <v/>
      </c>
      <c r="Q4" s="2" t="str">
        <f>IF(Q$1="","",CountCTs(Input!Q$3:Q$202))</f>
        <v/>
      </c>
      <c r="R4" s="2" t="str">
        <f>IF(R$1="","",CountCTs(Input!R$3:R$202))</f>
        <v/>
      </c>
      <c r="S4" s="2" t="str">
        <f>IF(S$1="","",CountCTs(Input!S$3:S$202))</f>
        <v/>
      </c>
      <c r="T4" s="2" t="str">
        <f>IF(T$1="","",CountCTs(Input!T$3:T$202))</f>
        <v/>
      </c>
      <c r="U4" s="2" t="str">
        <f>IF(U$1="","",CountCTs(Input!U$3:U$202))</f>
        <v/>
      </c>
      <c r="V4" s="2" t="str">
        <f>IF(V$1="","",CountCTs(Input!V$3:V$202))</f>
        <v/>
      </c>
      <c r="W4" s="2" t="str">
        <f>IF(W$1="","",CountCTs(Input!W$3:W$202))</f>
        <v/>
      </c>
      <c r="X4" s="2" t="str">
        <f>IF(X$1="","",CountCTs(Input!X$3:X$202))</f>
        <v/>
      </c>
      <c r="Y4" s="2" t="str">
        <f>IF(Y$1="","",CountCTs(Input!Y$3:Y$202))</f>
        <v/>
      </c>
      <c r="Z4" s="2" t="str">
        <f>IF(Z$1="","",CountCTs(Input!Z$3:Z$202))</f>
        <v/>
      </c>
      <c r="AA4" s="2" t="str">
        <f>IF(AA$1="","",CountCTs(Input!AA$3:AA$202))</f>
        <v/>
      </c>
      <c r="AB4" s="2" t="str">
        <f>IF(AB$1="","",CountCTs(Input!AB$3:AB$202))</f>
        <v/>
      </c>
      <c r="AC4" s="2" t="str">
        <f>IF(AC$1="","",CountCTs(Input!AC$3:AC$202))</f>
        <v/>
      </c>
      <c r="AD4" s="2" t="str">
        <f>IF(AD$1="","",CountCTs(Input!AD$3:AD$202))</f>
        <v/>
      </c>
      <c r="AE4" s="2" t="str">
        <f>IF(AE$1="","",CountCTs(Input!AE$3:AE$202))</f>
        <v/>
      </c>
      <c r="AF4" s="2" t="str">
        <f>IF(AF$1="","",CountCTs(Input!AF$3:AF$202))</f>
        <v/>
      </c>
      <c r="AG4" s="2" t="str">
        <f>IF(AG$1="","",CountCTs(Input!AG$3:AG$202))</f>
        <v/>
      </c>
      <c r="AH4" s="2" t="str">
        <f>IF(AH$1="","",CountCTs(Input!AH$3:AH$202))</f>
        <v/>
      </c>
      <c r="AI4" s="2" t="str">
        <f>IF(AI$1="","",CountCTs(Input!AI$3:AI$202))</f>
        <v/>
      </c>
      <c r="AJ4" s="2" t="str">
        <f>IF(AJ$1="","",CountCTs(Input!AJ$3:AJ$202))</f>
        <v/>
      </c>
      <c r="AK4" s="2" t="str">
        <f>IF(AK$1="","",CountCTs(Input!AK$3:AK$202))</f>
        <v/>
      </c>
      <c r="AL4" s="2" t="str">
        <f>IF(AL$1="","",CountCTs(Input!AL$3:AL$202))</f>
        <v/>
      </c>
      <c r="AM4" s="2" t="str">
        <f>IF(AM$1="","",CountCTs(Input!AM$3:AM$202))</f>
        <v/>
      </c>
      <c r="AN4" s="2" t="str">
        <f>IF(AN$1="","",CountCTs(Input!AN$3:AN$202))</f>
        <v/>
      </c>
      <c r="AO4" s="2" t="str">
        <f>IF(AO$1="","",CountCTs(Input!AO$3:AO$202))</f>
        <v/>
      </c>
      <c r="AP4" s="2" t="str">
        <f>IF(AP$1="","",CountCTs(Input!AP$3:AP$202))</f>
        <v/>
      </c>
      <c r="AQ4" s="2" t="str">
        <f>IF(AQ$1="","",CountCTs(Input!AQ$3:AQ$202))</f>
        <v/>
      </c>
      <c r="AR4" s="2" t="str">
        <f>IF(AR$1="","",CountCTs(Input!AR$3:AR$202))</f>
        <v/>
      </c>
      <c r="AS4" s="2" t="str">
        <f>IF(AS$1="","",CountCTs(Input!AS$3:AS$202))</f>
        <v/>
      </c>
      <c r="AT4" s="2" t="str">
        <f>IF(AT$1="","",CountCTs(Input!AT$3:AT$202))</f>
        <v/>
      </c>
      <c r="AU4" s="2" t="str">
        <f>IF(AU$1="","",CountCTs(Input!AU$3:AU$202))</f>
        <v/>
      </c>
      <c r="AV4" s="2" t="str">
        <f>IF(AV$1="","",CountCTs(Input!AV$3:AV$202))</f>
        <v/>
      </c>
      <c r="AW4" s="2" t="str">
        <f>IF(AW$1="","",CountCTs(Input!AW$3:AW$202))</f>
        <v/>
      </c>
      <c r="AX4" s="2" t="str">
        <f>IF(AX$1="","",CountCTs(Input!AX$3:AX$202))</f>
        <v/>
      </c>
      <c r="AY4" s="2" t="str">
        <f>IF(AY$1="","",CountCTs(Input!AY$3:AY$202))</f>
        <v/>
      </c>
      <c r="AZ4" s="2" t="str">
        <f>IF(AZ$1="","",CountCTs(Input!AZ$3:AZ$202))</f>
        <v/>
      </c>
      <c r="BA4" s="2" t="str">
        <f>IF(BA$1="","",CountCTs(Input!BA$3:BA$202))</f>
        <v/>
      </c>
      <c r="BB4" s="2" t="str">
        <f>IF(BB$1="","",CountCTs(Input!BB$3:BB$202))</f>
        <v/>
      </c>
      <c r="BC4" s="2" t="str">
        <f>IF(BC$1="","",CountCTs(Input!BC$3:BC$202))</f>
        <v/>
      </c>
      <c r="BD4" s="2" t="str">
        <f>IF(BD$1="","",CountCTs(Input!BD$3:BD$202))</f>
        <v/>
      </c>
      <c r="BE4" s="2" t="str">
        <f>IF(BE$1="","",CountCTs(Input!BE$3:BE$202))</f>
        <v/>
      </c>
      <c r="BF4" s="2" t="str">
        <f>IF(BF$1="","",CountCTs(Input!BF$3:BF$202))</f>
        <v/>
      </c>
      <c r="BG4" s="2" t="str">
        <f>IF(BG$1="","",CountCTs(Input!BG$3:BG$202))</f>
        <v/>
      </c>
      <c r="BH4" s="2" t="str">
        <f>IF(BH$1="","",CountCTs(Input!BH$3:BH$202))</f>
        <v/>
      </c>
      <c r="BI4" s="2" t="str">
        <f>IF(BI$1="","",CountCTs(Input!BI$3:BI$202))</f>
        <v/>
      </c>
      <c r="BJ4" s="2" t="str">
        <f>IF(BJ$1="","",CountCTs(Input!BJ$3:BJ$202))</f>
        <v/>
      </c>
    </row>
    <row r="5" spans="1:62" x14ac:dyDescent="0.3">
      <c r="A5" s="11">
        <f>IF(Input!$A5="","",Input!$A5)</f>
        <v>43127</v>
      </c>
      <c r="B5">
        <f>IF(Input!$B5="","",Input!$B5)</f>
        <v>25</v>
      </c>
      <c r="C5">
        <f>IF(Input!$C5="",NA(),SUM(Input!$C$3:'Input'!$C5))</f>
        <v>3</v>
      </c>
      <c r="D5" s="4">
        <f t="shared" si="2"/>
        <v>7.5</v>
      </c>
      <c r="N5" s="2" t="str">
        <f t="shared" ref="N5:BJ5" si="3">IF(N$1="","",M$5-N4)</f>
        <v/>
      </c>
      <c r="O5" s="2">
        <f ca="1">SUM(OFFSET('Final Data'!$A$1,1,2,SUMPRODUCT(--(NOT(ISNA('Final Data'!$C$2:$C$202))))))</f>
        <v>244</v>
      </c>
      <c r="P5" s="2" t="str">
        <f t="shared" si="3"/>
        <v/>
      </c>
      <c r="Q5" s="2" t="str">
        <f t="shared" si="3"/>
        <v/>
      </c>
      <c r="R5" s="2" t="str">
        <f t="shared" si="3"/>
        <v/>
      </c>
      <c r="S5" s="2" t="str">
        <f t="shared" si="3"/>
        <v/>
      </c>
      <c r="T5" s="2" t="str">
        <f t="shared" si="3"/>
        <v/>
      </c>
      <c r="U5" s="2" t="str">
        <f t="shared" si="3"/>
        <v/>
      </c>
      <c r="V5" s="2" t="str">
        <f t="shared" si="3"/>
        <v/>
      </c>
      <c r="W5" s="2" t="str">
        <f t="shared" si="3"/>
        <v/>
      </c>
      <c r="X5" s="2" t="str">
        <f t="shared" si="3"/>
        <v/>
      </c>
      <c r="Y5" s="2" t="str">
        <f t="shared" si="3"/>
        <v/>
      </c>
      <c r="Z5" s="2" t="str">
        <f t="shared" si="3"/>
        <v/>
      </c>
      <c r="AA5" s="2" t="str">
        <f t="shared" si="3"/>
        <v/>
      </c>
      <c r="AB5" s="2" t="str">
        <f t="shared" si="3"/>
        <v/>
      </c>
      <c r="AC5" s="2" t="str">
        <f t="shared" si="3"/>
        <v/>
      </c>
      <c r="AD5" s="2" t="str">
        <f t="shared" si="3"/>
        <v/>
      </c>
      <c r="AE5" s="2" t="str">
        <f t="shared" si="3"/>
        <v/>
      </c>
      <c r="AF5" s="2" t="str">
        <f t="shared" si="3"/>
        <v/>
      </c>
      <c r="AG5" s="2" t="str">
        <f t="shared" si="3"/>
        <v/>
      </c>
      <c r="AH5" s="2" t="str">
        <f t="shared" si="3"/>
        <v/>
      </c>
      <c r="AI5" s="2" t="str">
        <f t="shared" si="3"/>
        <v/>
      </c>
      <c r="AJ5" s="2" t="str">
        <f t="shared" si="3"/>
        <v/>
      </c>
      <c r="AK5" s="2" t="str">
        <f t="shared" si="3"/>
        <v/>
      </c>
      <c r="AL5" s="2" t="str">
        <f t="shared" si="3"/>
        <v/>
      </c>
      <c r="AM5" s="2" t="str">
        <f t="shared" si="3"/>
        <v/>
      </c>
      <c r="AN5" s="2" t="str">
        <f t="shared" si="3"/>
        <v/>
      </c>
      <c r="AO5" s="2" t="str">
        <f t="shared" si="3"/>
        <v/>
      </c>
      <c r="AP5" s="2" t="str">
        <f t="shared" si="3"/>
        <v/>
      </c>
      <c r="AQ5" s="2" t="str">
        <f t="shared" si="3"/>
        <v/>
      </c>
      <c r="AR5" s="2" t="str">
        <f t="shared" si="3"/>
        <v/>
      </c>
      <c r="AS5" s="2" t="str">
        <f t="shared" si="3"/>
        <v/>
      </c>
      <c r="AT5" s="2" t="str">
        <f t="shared" si="3"/>
        <v/>
      </c>
      <c r="AU5" s="2" t="str">
        <f t="shared" si="3"/>
        <v/>
      </c>
      <c r="AV5" s="2" t="str">
        <f t="shared" si="3"/>
        <v/>
      </c>
      <c r="AW5" s="2" t="str">
        <f t="shared" si="3"/>
        <v/>
      </c>
      <c r="AX5" s="2" t="str">
        <f t="shared" si="3"/>
        <v/>
      </c>
      <c r="AY5" s="2" t="str">
        <f t="shared" si="3"/>
        <v/>
      </c>
      <c r="AZ5" s="2" t="str">
        <f t="shared" si="3"/>
        <v/>
      </c>
      <c r="BA5" s="2" t="str">
        <f t="shared" si="3"/>
        <v/>
      </c>
      <c r="BB5" s="2" t="str">
        <f t="shared" si="3"/>
        <v/>
      </c>
      <c r="BC5" s="2" t="str">
        <f t="shared" si="3"/>
        <v/>
      </c>
      <c r="BD5" s="2" t="str">
        <f t="shared" si="3"/>
        <v/>
      </c>
      <c r="BE5" s="2" t="str">
        <f t="shared" si="3"/>
        <v/>
      </c>
      <c r="BF5" s="2" t="str">
        <f t="shared" si="3"/>
        <v/>
      </c>
      <c r="BG5" s="2" t="str">
        <f t="shared" si="3"/>
        <v/>
      </c>
      <c r="BH5" s="2" t="str">
        <f t="shared" si="3"/>
        <v/>
      </c>
      <c r="BI5" s="2" t="str">
        <f t="shared" si="3"/>
        <v/>
      </c>
      <c r="BJ5" s="2" t="str">
        <f t="shared" si="3"/>
        <v/>
      </c>
    </row>
    <row r="6" spans="1:62" x14ac:dyDescent="0.3">
      <c r="A6" s="11">
        <f>IF(Input!$A6="","",Input!$A6)</f>
        <v>43128</v>
      </c>
      <c r="B6">
        <f>IF(Input!$B6="","",Input!$B6)</f>
        <v>25</v>
      </c>
      <c r="C6">
        <f>IF(Input!$C6="",NA(),SUM(Input!$C$3:'Input'!$C6))</f>
        <v>3</v>
      </c>
      <c r="D6" s="4">
        <f t="shared" si="2"/>
        <v>10</v>
      </c>
    </row>
    <row r="7" spans="1:62" x14ac:dyDescent="0.3">
      <c r="A7" s="11">
        <f>IF(Input!$A7="","",Input!$A7)</f>
        <v>43129</v>
      </c>
      <c r="B7">
        <f>IF(Input!$B7="","",Input!$B7)</f>
        <v>35</v>
      </c>
      <c r="C7">
        <f>IF(Input!$C7="",NA(),SUM(Input!$C$3:'Input'!$C7))</f>
        <v>9</v>
      </c>
      <c r="D7" s="4">
        <f t="shared" si="2"/>
        <v>12.5</v>
      </c>
    </row>
    <row r="8" spans="1:62" x14ac:dyDescent="0.3">
      <c r="A8" s="11">
        <f>IF(Input!$A8="","",Input!$A8)</f>
        <v>43130</v>
      </c>
      <c r="B8">
        <f>IF(Input!$B8="","",Input!$B8)</f>
        <v>35</v>
      </c>
      <c r="C8">
        <f>IF(Input!$C8="",NA(),SUM(Input!$C$3:'Input'!$C8))</f>
        <v>12</v>
      </c>
      <c r="D8" s="4">
        <f t="shared" si="2"/>
        <v>15</v>
      </c>
    </row>
    <row r="9" spans="1:62" x14ac:dyDescent="0.3">
      <c r="A9" s="11">
        <f>IF(Input!$A9="","",Input!$A9)</f>
        <v>43131</v>
      </c>
      <c r="B9">
        <f>IF(Input!$B9="","",Input!$B9)</f>
        <v>35</v>
      </c>
      <c r="C9">
        <f>IF(Input!$C9="",NA(),SUM(Input!$C$3:'Input'!$C9))</f>
        <v>12</v>
      </c>
      <c r="D9" s="4">
        <f t="shared" si="2"/>
        <v>17.5</v>
      </c>
    </row>
    <row r="10" spans="1:62" x14ac:dyDescent="0.3">
      <c r="A10" s="11">
        <f>IF(Input!$A10="","",Input!$A10)</f>
        <v>43132</v>
      </c>
      <c r="B10">
        <f>IF(Input!$B10="","",Input!$B10)</f>
        <v>35</v>
      </c>
      <c r="C10">
        <f>IF(Input!$C10="",NA(),SUM(Input!$C$3:'Input'!$C10))</f>
        <v>12</v>
      </c>
      <c r="D10" s="4">
        <f t="shared" si="2"/>
        <v>20</v>
      </c>
    </row>
    <row r="11" spans="1:62" x14ac:dyDescent="0.3">
      <c r="A11" s="11">
        <f>IF(Input!$A11="","",Input!$A11)</f>
        <v>43133</v>
      </c>
      <c r="B11">
        <f>IF(Input!$B11="","",Input!$B11)</f>
        <v>35</v>
      </c>
      <c r="C11">
        <f>IF(Input!$C11="",NA(),SUM(Input!$C$3:'Input'!$C11))</f>
        <v>12</v>
      </c>
      <c r="D11" s="4">
        <f t="shared" si="2"/>
        <v>22.5</v>
      </c>
    </row>
    <row r="12" spans="1:62" x14ac:dyDescent="0.3">
      <c r="A12" s="11">
        <f>IF(Input!$A12="","",Input!$A12)</f>
        <v>43134</v>
      </c>
      <c r="B12">
        <f>IF(Input!$B12="","",Input!$B12)</f>
        <v>40</v>
      </c>
      <c r="C12">
        <f>IF(Input!$C12="",NA(),SUM(Input!$C$3:'Input'!$C12))</f>
        <v>17</v>
      </c>
      <c r="D12" s="4">
        <f t="shared" si="2"/>
        <v>25</v>
      </c>
    </row>
    <row r="13" spans="1:62" x14ac:dyDescent="0.3">
      <c r="A13" s="11">
        <f>IF(Input!$A13="","",Input!$A13)</f>
        <v>43135</v>
      </c>
      <c r="B13">
        <f>IF(Input!$B13="","",Input!$B13)</f>
        <v>40</v>
      </c>
      <c r="C13">
        <f>IF(Input!$C13="",NA(),SUM(Input!$C$3:'Input'!$C13))</f>
        <v>19</v>
      </c>
      <c r="D13" s="4">
        <f t="shared" si="2"/>
        <v>27.5</v>
      </c>
    </row>
    <row r="14" spans="1:62" x14ac:dyDescent="0.3">
      <c r="A14" s="11">
        <f>IF(Input!$A14="","",Input!$A14)</f>
        <v>43136</v>
      </c>
      <c r="B14">
        <f>IF(Input!$B14="","",Input!$B14)</f>
        <v>40</v>
      </c>
      <c r="C14">
        <f>IF(Input!$C14="",NA(),SUM(Input!$C$3:'Input'!$C14))</f>
        <v>23</v>
      </c>
      <c r="D14" s="4">
        <f t="shared" si="2"/>
        <v>30</v>
      </c>
    </row>
    <row r="15" spans="1:62" x14ac:dyDescent="0.3">
      <c r="A15" s="11">
        <f>IF(Input!$A15="","",Input!$A15)</f>
        <v>43137</v>
      </c>
      <c r="B15">
        <f>IF(Input!$B15="","",Input!$B15)</f>
        <v>40</v>
      </c>
      <c r="C15">
        <f>IF(Input!$C15="",NA(),SUM(Input!$C$3:'Input'!$C15))</f>
        <v>26</v>
      </c>
      <c r="D15" s="4">
        <f t="shared" si="2"/>
        <v>32.5</v>
      </c>
    </row>
    <row r="16" spans="1:62" x14ac:dyDescent="0.3">
      <c r="A16" s="11">
        <f>IF(Input!$A16="","",Input!$A16)</f>
        <v>43138</v>
      </c>
      <c r="B16">
        <f>IF(Input!$B16="","",Input!$B16)</f>
        <v>40</v>
      </c>
      <c r="C16">
        <f>IF(Input!$C16="",NA(),SUM(Input!$C$3:'Input'!$C16))</f>
        <v>29</v>
      </c>
      <c r="D16" s="4">
        <f t="shared" si="2"/>
        <v>35</v>
      </c>
    </row>
    <row r="17" spans="1:4" x14ac:dyDescent="0.3">
      <c r="A17" s="11">
        <f>IF(Input!$A17="","",Input!$A17)</f>
        <v>43139</v>
      </c>
      <c r="B17">
        <f>IF(Input!$B17="","",Input!$B17)</f>
        <v>40</v>
      </c>
      <c r="C17">
        <f>IF(Input!$C17="",NA(),SUM(Input!$C$3:'Input'!$C17))</f>
        <v>31</v>
      </c>
      <c r="D17" s="4">
        <f t="shared" si="2"/>
        <v>37.5</v>
      </c>
    </row>
    <row r="18" spans="1:4" x14ac:dyDescent="0.3">
      <c r="A18" s="11">
        <f>IF(Input!$A18="","",Input!$A18)</f>
        <v>43140</v>
      </c>
      <c r="B18">
        <f>IF(Input!$B18="","",Input!$B18)</f>
        <v>40</v>
      </c>
      <c r="C18">
        <f>IF(Input!$C18="",NA(),SUM(Input!$C$3:'Input'!$C18))</f>
        <v>33</v>
      </c>
      <c r="D18" s="4">
        <f t="shared" si="2"/>
        <v>40</v>
      </c>
    </row>
    <row r="19" spans="1:4" x14ac:dyDescent="0.3">
      <c r="A19" s="11" t="str">
        <f>IF(Input!$A19="","",Input!$A19)</f>
        <v/>
      </c>
      <c r="B19" t="str">
        <f>IF(Input!$B19="","",Input!$B19)</f>
        <v/>
      </c>
      <c r="C19" t="e">
        <f>IF(Input!$C19="",NA(),SUM(Input!$C$3:'Input'!$C19))</f>
        <v>#N/A</v>
      </c>
      <c r="D19" s="4" t="str">
        <f t="shared" si="2"/>
        <v/>
      </c>
    </row>
    <row r="20" spans="1:4" x14ac:dyDescent="0.3">
      <c r="A20" s="11" t="str">
        <f>IF(Input!$A20="","",Input!$A20)</f>
        <v/>
      </c>
      <c r="B20" t="str">
        <f>IF(Input!$B20="","",Input!$B20)</f>
        <v/>
      </c>
      <c r="C20" t="e">
        <f>IF(Input!$C20="",NA(),SUM(Input!$C$3:'Input'!$C20))</f>
        <v>#N/A</v>
      </c>
      <c r="D20" s="4" t="str">
        <f t="shared" si="2"/>
        <v/>
      </c>
    </row>
    <row r="21" spans="1:4" x14ac:dyDescent="0.3">
      <c r="A21" s="11" t="str">
        <f>IF(Input!$A21="","",Input!$A21)</f>
        <v/>
      </c>
      <c r="B21" t="str">
        <f>IF(Input!$B21="","",Input!$B21)</f>
        <v/>
      </c>
      <c r="C21" t="e">
        <f>IF(Input!$C21="",NA(),SUM(Input!$C$3:'Input'!$C21))</f>
        <v>#N/A</v>
      </c>
      <c r="D21" s="4" t="str">
        <f t="shared" si="2"/>
        <v/>
      </c>
    </row>
    <row r="22" spans="1:4" x14ac:dyDescent="0.3">
      <c r="A22" s="11" t="str">
        <f>IF(Input!$A22="","",Input!$A22)</f>
        <v/>
      </c>
      <c r="B22" t="str">
        <f>IF(Input!$B22="","",Input!$B22)</f>
        <v/>
      </c>
      <c r="C22" t="e">
        <f>IF(Input!$C22="",NA(),SUM(Input!$C$3:'Input'!$C22))</f>
        <v>#N/A</v>
      </c>
      <c r="D22" s="4" t="str">
        <f t="shared" si="2"/>
        <v/>
      </c>
    </row>
    <row r="23" spans="1:4" x14ac:dyDescent="0.3">
      <c r="A23" s="11" t="str">
        <f>IF(Input!$A23="","",Input!$A23)</f>
        <v/>
      </c>
      <c r="B23" t="str">
        <f>IF(Input!$B23="","",Input!$B23)</f>
        <v/>
      </c>
      <c r="C23" t="e">
        <f>IF(Input!$C23="",NA(),SUM(Input!$C$3:'Input'!$C23))</f>
        <v>#N/A</v>
      </c>
      <c r="D23" s="4" t="str">
        <f t="shared" si="2"/>
        <v/>
      </c>
    </row>
    <row r="24" spans="1:4" x14ac:dyDescent="0.3">
      <c r="A24" s="11" t="str">
        <f>IF(Input!$A24="","",Input!$A24)</f>
        <v/>
      </c>
      <c r="B24" t="str">
        <f>IF(Input!$B24="","",Input!$B24)</f>
        <v/>
      </c>
      <c r="C24" t="e">
        <f>IF(Input!$C24="",NA(),SUM(Input!$C$3:'Input'!$C24))</f>
        <v>#N/A</v>
      </c>
      <c r="D24" s="4" t="str">
        <f t="shared" si="2"/>
        <v/>
      </c>
    </row>
    <row r="25" spans="1:4" x14ac:dyDescent="0.3">
      <c r="A25" s="11" t="str">
        <f>IF(Input!$A25="","",Input!$A25)</f>
        <v/>
      </c>
      <c r="B25" t="str">
        <f>IF(Input!$B25="","",Input!$B25)</f>
        <v/>
      </c>
      <c r="C25" t="e">
        <f>IF(Input!$C25="",NA(),SUM(Input!$C$3:'Input'!$C25))</f>
        <v>#N/A</v>
      </c>
      <c r="D25" s="4" t="str">
        <f t="shared" si="2"/>
        <v/>
      </c>
    </row>
    <row r="26" spans="1:4" x14ac:dyDescent="0.3">
      <c r="A26" s="11" t="str">
        <f>IF(Input!$A26="","",Input!$A26)</f>
        <v/>
      </c>
      <c r="B26" t="str">
        <f>IF(Input!$B26="","",Input!$B26)</f>
        <v/>
      </c>
      <c r="C26" t="e">
        <f>IF(Input!$C26="",NA(),SUM(Input!$C$3:'Input'!$C26))</f>
        <v>#N/A</v>
      </c>
      <c r="D26" s="4" t="str">
        <f t="shared" si="2"/>
        <v/>
      </c>
    </row>
    <row r="27" spans="1:4" x14ac:dyDescent="0.3">
      <c r="A27" s="11" t="str">
        <f>IF(Input!$A27="","",Input!$A27)</f>
        <v/>
      </c>
      <c r="B27" t="str">
        <f>IF(Input!$B27="","",Input!$B27)</f>
        <v/>
      </c>
      <c r="C27" t="e">
        <f>IF(Input!$C27="",NA(),SUM(Input!$C$3:'Input'!$C27))</f>
        <v>#N/A</v>
      </c>
      <c r="D27" s="4" t="str">
        <f t="shared" si="2"/>
        <v/>
      </c>
    </row>
    <row r="28" spans="1:4" x14ac:dyDescent="0.3">
      <c r="A28" s="11" t="str">
        <f>IF(Input!$A28="","",Input!$A28)</f>
        <v/>
      </c>
      <c r="B28" t="str">
        <f>IF(Input!$B28="","",Input!$B28)</f>
        <v/>
      </c>
      <c r="C28" t="e">
        <f>IF(Input!$C28="",NA(),SUM(Input!$C$3:'Input'!$C28))</f>
        <v>#N/A</v>
      </c>
      <c r="D28" s="4" t="str">
        <f t="shared" si="2"/>
        <v/>
      </c>
    </row>
    <row r="29" spans="1:4" x14ac:dyDescent="0.3">
      <c r="A29" s="11" t="str">
        <f>IF(Input!$A29="","",Input!$A29)</f>
        <v/>
      </c>
      <c r="B29" t="str">
        <f>IF(Input!$B29="","",Input!$B29)</f>
        <v/>
      </c>
      <c r="C29" t="e">
        <f>IF(Input!$C29="",NA(),SUM(Input!$C$3:'Input'!$C29))</f>
        <v>#N/A</v>
      </c>
      <c r="D29" s="4" t="str">
        <f t="shared" si="2"/>
        <v/>
      </c>
    </row>
    <row r="30" spans="1:4" x14ac:dyDescent="0.3">
      <c r="A30" s="11" t="str">
        <f>IF(Input!$A30="","",Input!$A30)</f>
        <v/>
      </c>
      <c r="B30" t="str">
        <f>IF(Input!$B30="","",Input!$B30)</f>
        <v/>
      </c>
      <c r="C30" t="e">
        <f>IF(Input!$C30="",NA(),SUM(Input!$C$3:'Input'!$C30))</f>
        <v>#N/A</v>
      </c>
      <c r="D30" s="4" t="str">
        <f t="shared" si="2"/>
        <v/>
      </c>
    </row>
    <row r="31" spans="1:4" x14ac:dyDescent="0.3">
      <c r="A31" s="11" t="str">
        <f>IF(Input!$A31="","",Input!$A31)</f>
        <v/>
      </c>
      <c r="B31" t="str">
        <f>IF(Input!$B31="","",Input!$B31)</f>
        <v/>
      </c>
      <c r="C31" t="e">
        <f>IF(Input!$C31="",NA(),SUM(Input!$C$3:'Input'!$C31))</f>
        <v>#N/A</v>
      </c>
      <c r="D31" s="4" t="str">
        <f t="shared" si="2"/>
        <v/>
      </c>
    </row>
    <row r="32" spans="1:4" x14ac:dyDescent="0.3">
      <c r="A32" s="11" t="str">
        <f>IF(Input!$A32="","",Input!$A32)</f>
        <v/>
      </c>
      <c r="B32" t="str">
        <f>IF(Input!$B32="","",Input!$B32)</f>
        <v/>
      </c>
      <c r="C32" t="e">
        <f>IF(Input!$C32="",NA(),SUM(Input!$C$3:'Input'!$C32))</f>
        <v>#N/A</v>
      </c>
      <c r="D32" s="4" t="str">
        <f t="shared" si="2"/>
        <v/>
      </c>
    </row>
    <row r="33" spans="1:4" x14ac:dyDescent="0.3">
      <c r="A33" s="11" t="str">
        <f>IF(Input!$A33="","",Input!$A33)</f>
        <v/>
      </c>
      <c r="B33" t="str">
        <f>IF(Input!$B33="","",Input!$B33)</f>
        <v/>
      </c>
      <c r="C33" t="e">
        <f>IF(Input!$C33="",NA(),SUM(Input!$C$3:'Input'!$C33))</f>
        <v>#N/A</v>
      </c>
      <c r="D33" s="4" t="str">
        <f t="shared" si="2"/>
        <v/>
      </c>
    </row>
    <row r="34" spans="1:4" x14ac:dyDescent="0.3">
      <c r="A34" s="11" t="str">
        <f>IF(Input!$A34="","",Input!$A34)</f>
        <v/>
      </c>
      <c r="B34" t="str">
        <f>IF(Input!$B34="","",Input!$B34)</f>
        <v/>
      </c>
      <c r="C34" t="e">
        <f>IF(Input!$C34="",NA(),SUM(Input!$C$3:'Input'!$C34))</f>
        <v>#N/A</v>
      </c>
      <c r="D34" s="4" t="str">
        <f t="shared" si="2"/>
        <v/>
      </c>
    </row>
    <row r="35" spans="1:4" x14ac:dyDescent="0.3">
      <c r="A35" s="11" t="str">
        <f>IF(Input!$A35="","",Input!$A35)</f>
        <v/>
      </c>
      <c r="B35" t="str">
        <f>IF(Input!$B35="","",Input!$B35)</f>
        <v/>
      </c>
      <c r="C35" t="e">
        <f>IF(Input!$C35="",NA(),SUM(Input!$C$3:'Input'!$C35))</f>
        <v>#N/A</v>
      </c>
      <c r="D35" s="4" t="str">
        <f t="shared" si="2"/>
        <v/>
      </c>
    </row>
    <row r="36" spans="1:4" x14ac:dyDescent="0.3">
      <c r="A36" s="11" t="str">
        <f>IF(Input!$A36="","",Input!$A36)</f>
        <v/>
      </c>
      <c r="B36" t="str">
        <f>IF(Input!$B36="","",Input!$B36)</f>
        <v/>
      </c>
      <c r="C36" t="e">
        <f>IF(Input!$C36="",NA(),SUM(Input!$C$3:'Input'!$C36))</f>
        <v>#N/A</v>
      </c>
      <c r="D36" s="4" t="str">
        <f t="shared" si="2"/>
        <v/>
      </c>
    </row>
    <row r="37" spans="1:4" x14ac:dyDescent="0.3">
      <c r="A37" s="11" t="str">
        <f>IF(Input!$A37="","",Input!$A37)</f>
        <v/>
      </c>
      <c r="B37" t="str">
        <f>IF(Input!$B37="","",Input!$B37)</f>
        <v/>
      </c>
      <c r="C37" t="e">
        <f>IF(Input!$C37="",NA(),SUM(Input!$C$3:'Input'!$C37))</f>
        <v>#N/A</v>
      </c>
      <c r="D37" s="4" t="str">
        <f t="shared" si="2"/>
        <v/>
      </c>
    </row>
    <row r="38" spans="1:4" x14ac:dyDescent="0.3">
      <c r="A38" s="11" t="str">
        <f>IF(Input!$A38="","",Input!$A38)</f>
        <v/>
      </c>
      <c r="B38" t="str">
        <f>IF(Input!$B38="","",Input!$B38)</f>
        <v/>
      </c>
      <c r="C38" t="e">
        <f>IF(Input!$C38="",NA(),SUM(Input!$C$3:'Input'!$C38))</f>
        <v>#N/A</v>
      </c>
      <c r="D38" s="4" t="str">
        <f t="shared" si="2"/>
        <v/>
      </c>
    </row>
    <row r="39" spans="1:4" x14ac:dyDescent="0.3">
      <c r="A39" s="11" t="str">
        <f>IF(Input!$A39="","",Input!$A39)</f>
        <v/>
      </c>
      <c r="B39" t="str">
        <f>IF(Input!$B39="","",Input!$B39)</f>
        <v/>
      </c>
      <c r="C39" t="e">
        <f>IF(Input!$C39="",NA(),SUM(Input!$C$3:'Input'!$C39))</f>
        <v>#N/A</v>
      </c>
      <c r="D39" s="4" t="str">
        <f t="shared" si="2"/>
        <v/>
      </c>
    </row>
    <row r="40" spans="1:4" x14ac:dyDescent="0.3">
      <c r="A40" s="11" t="str">
        <f>IF(Input!$A40="","",Input!$A40)</f>
        <v/>
      </c>
      <c r="B40" t="str">
        <f>IF(Input!$B40="","",Input!$B40)</f>
        <v/>
      </c>
      <c r="C40" t="e">
        <f>IF(Input!$C40="",NA(),SUM(Input!$C$3:'Input'!$C40))</f>
        <v>#N/A</v>
      </c>
      <c r="D40" s="4" t="str">
        <f t="shared" si="2"/>
        <v/>
      </c>
    </row>
    <row r="41" spans="1:4" x14ac:dyDescent="0.3">
      <c r="A41" s="11" t="str">
        <f>IF(Input!$A41="","",Input!$A41)</f>
        <v/>
      </c>
      <c r="B41" t="str">
        <f>IF(Input!$B41="","",Input!$B41)</f>
        <v/>
      </c>
      <c r="C41" t="e">
        <f>IF(Input!$C41="",NA(),SUM(Input!$C$3:'Input'!$C41))</f>
        <v>#N/A</v>
      </c>
      <c r="D41" s="4" t="str">
        <f t="shared" si="2"/>
        <v/>
      </c>
    </row>
    <row r="42" spans="1:4" x14ac:dyDescent="0.3">
      <c r="A42" s="11" t="str">
        <f>IF(Input!$A42="","",Input!$A42)</f>
        <v/>
      </c>
      <c r="B42" t="str">
        <f>IF(Input!$B42="","",Input!$B42)</f>
        <v/>
      </c>
      <c r="C42" t="e">
        <f>IF(Input!$C42="",NA(),SUM(Input!$C$3:'Input'!$C42))</f>
        <v>#N/A</v>
      </c>
      <c r="D42" s="4" t="str">
        <f t="shared" si="2"/>
        <v/>
      </c>
    </row>
    <row r="43" spans="1:4" x14ac:dyDescent="0.3">
      <c r="A43" s="11" t="str">
        <f>IF(Input!$A43="","",Input!$A43)</f>
        <v/>
      </c>
      <c r="B43" t="str">
        <f>IF(Input!$B43="","",Input!$B43)</f>
        <v/>
      </c>
      <c r="C43" t="e">
        <f>IF(Input!$C43="",NA(),SUM(Input!$C$3:'Input'!$C43))</f>
        <v>#N/A</v>
      </c>
      <c r="D43" s="4" t="str">
        <f t="shared" si="2"/>
        <v/>
      </c>
    </row>
    <row r="44" spans="1:4" x14ac:dyDescent="0.3">
      <c r="A44" s="11" t="str">
        <f>IF(Input!$A44="","",Input!$A44)</f>
        <v/>
      </c>
      <c r="B44" t="str">
        <f>IF(Input!$B44="","",Input!$B44)</f>
        <v/>
      </c>
      <c r="C44" t="e">
        <f>IF(Input!$C44="",NA(),SUM(Input!$C$3:'Input'!$C44))</f>
        <v>#N/A</v>
      </c>
      <c r="D44" s="4" t="str">
        <f t="shared" si="2"/>
        <v/>
      </c>
    </row>
    <row r="45" spans="1:4" x14ac:dyDescent="0.3">
      <c r="A45" s="11" t="str">
        <f>IF(Input!$A45="","",Input!$A45)</f>
        <v/>
      </c>
      <c r="B45" t="str">
        <f>IF(Input!$B45="","",Input!$B45)</f>
        <v/>
      </c>
      <c r="C45" t="e">
        <f>IF(Input!$C45="",NA(),SUM(Input!$C$3:'Input'!$C45))</f>
        <v>#N/A</v>
      </c>
      <c r="D45" s="4" t="str">
        <f t="shared" si="2"/>
        <v/>
      </c>
    </row>
    <row r="46" spans="1:4" x14ac:dyDescent="0.3">
      <c r="A46" s="11" t="str">
        <f>IF(Input!$A46="","",Input!$A46)</f>
        <v/>
      </c>
      <c r="B46" t="str">
        <f>IF(Input!$B46="","",Input!$B46)</f>
        <v/>
      </c>
      <c r="C46" t="e">
        <f>IF(Input!$C46="",NA(),SUM(Input!$C$3:'Input'!$C46))</f>
        <v>#N/A</v>
      </c>
      <c r="D46" s="4" t="str">
        <f t="shared" si="2"/>
        <v/>
      </c>
    </row>
    <row r="47" spans="1:4" x14ac:dyDescent="0.3">
      <c r="A47" s="11" t="str">
        <f>IF(Input!$A47="","",Input!$A47)</f>
        <v/>
      </c>
      <c r="B47" t="str">
        <f>IF(Input!$B47="","",Input!$B47)</f>
        <v/>
      </c>
      <c r="C47" t="e">
        <f>IF(Input!$C47="",NA(),SUM(Input!$C$3:'Input'!$C47))</f>
        <v>#N/A</v>
      </c>
      <c r="D47" s="4" t="str">
        <f t="shared" si="2"/>
        <v/>
      </c>
    </row>
    <row r="48" spans="1:4" x14ac:dyDescent="0.3">
      <c r="A48" s="11" t="str">
        <f>IF(Input!$A48="","",Input!$A48)</f>
        <v/>
      </c>
      <c r="B48" t="str">
        <f>IF(Input!$B48="","",Input!$B48)</f>
        <v/>
      </c>
      <c r="C48" t="e">
        <f>IF(Input!$C48="",NA(),SUM(Input!$C$3:'Input'!$C48))</f>
        <v>#N/A</v>
      </c>
      <c r="D48" s="4" t="str">
        <f t="shared" si="2"/>
        <v/>
      </c>
    </row>
    <row r="49" spans="1:4" x14ac:dyDescent="0.3">
      <c r="A49" s="11" t="str">
        <f>IF(Input!$A49="","",Input!$A49)</f>
        <v/>
      </c>
      <c r="B49" t="str">
        <f>IF(Input!$B49="","",Input!$B49)</f>
        <v/>
      </c>
      <c r="C49" t="e">
        <f>IF(Input!$C49="",NA(),SUM(Input!$C$3:'Input'!$C49))</f>
        <v>#N/A</v>
      </c>
      <c r="D49" s="4" t="str">
        <f t="shared" si="2"/>
        <v/>
      </c>
    </row>
    <row r="50" spans="1:4" x14ac:dyDescent="0.3">
      <c r="A50" s="11" t="str">
        <f>IF(Input!$A50="","",Input!$A50)</f>
        <v/>
      </c>
      <c r="B50" t="str">
        <f>IF(Input!$B50="","",Input!$B50)</f>
        <v/>
      </c>
      <c r="C50" t="e">
        <f>IF(Input!$C50="",NA(),SUM(Input!$C$3:'Input'!$C50))</f>
        <v>#N/A</v>
      </c>
      <c r="D50" s="4" t="str">
        <f t="shared" si="2"/>
        <v/>
      </c>
    </row>
    <row r="51" spans="1:4" x14ac:dyDescent="0.3">
      <c r="A51" s="11" t="str">
        <f>IF(Input!$A51="","",Input!$A51)</f>
        <v/>
      </c>
      <c r="B51" t="str">
        <f>IF(Input!$B51="","",Input!$B51)</f>
        <v/>
      </c>
      <c r="C51" t="e">
        <f>IF(Input!$C51="",NA(),SUM(Input!$C$3:'Input'!$C51))</f>
        <v>#N/A</v>
      </c>
      <c r="D51" s="4" t="str">
        <f t="shared" si="2"/>
        <v/>
      </c>
    </row>
    <row r="52" spans="1:4" x14ac:dyDescent="0.3">
      <c r="A52" s="11" t="str">
        <f>IF(Input!$A52="","",Input!$A52)</f>
        <v/>
      </c>
      <c r="B52" t="str">
        <f>IF(Input!$B52="","",Input!$B52)</f>
        <v/>
      </c>
      <c r="C52" t="e">
        <f>IF(Input!$C52="",NA(),SUM(Input!$C$3:'Input'!$C52))</f>
        <v>#N/A</v>
      </c>
      <c r="D52" s="4" t="str">
        <f t="shared" si="2"/>
        <v/>
      </c>
    </row>
    <row r="53" spans="1:4" x14ac:dyDescent="0.3">
      <c r="A53" s="11" t="str">
        <f>IF(Input!$A53="","",Input!$A53)</f>
        <v/>
      </c>
      <c r="B53" t="str">
        <f>IF(Input!$B53="","",Input!$B53)</f>
        <v/>
      </c>
      <c r="C53" t="e">
        <f>IF(Input!$C53="",NA(),SUM(Input!$C$3:'Input'!$C53))</f>
        <v>#N/A</v>
      </c>
      <c r="D53" s="4" t="str">
        <f t="shared" si="2"/>
        <v/>
      </c>
    </row>
    <row r="54" spans="1:4" x14ac:dyDescent="0.3">
      <c r="A54" s="11" t="str">
        <f>IF(Input!$A54="","",Input!$A54)</f>
        <v/>
      </c>
      <c r="B54" t="str">
        <f>IF(Input!$B54="","",Input!$B54)</f>
        <v/>
      </c>
      <c r="C54" t="e">
        <f>IF(Input!$C54="",NA(),SUM(Input!$C$3:'Input'!$C54))</f>
        <v>#N/A</v>
      </c>
      <c r="D54" s="4" t="str">
        <f t="shared" si="2"/>
        <v/>
      </c>
    </row>
    <row r="55" spans="1:4" x14ac:dyDescent="0.3">
      <c r="A55" s="11" t="str">
        <f>IF(Input!$A55="","",Input!$A55)</f>
        <v/>
      </c>
      <c r="B55" t="str">
        <f>IF(Input!$B55="","",Input!$B55)</f>
        <v/>
      </c>
      <c r="C55" t="e">
        <f>IF(Input!$C55="",NA(),SUM(Input!$C$3:'Input'!$C55))</f>
        <v>#N/A</v>
      </c>
      <c r="D55" s="4" t="str">
        <f t="shared" si="2"/>
        <v/>
      </c>
    </row>
    <row r="56" spans="1:4" x14ac:dyDescent="0.3">
      <c r="A56" s="11" t="str">
        <f>IF(Input!$A56="","",Input!$A56)</f>
        <v/>
      </c>
      <c r="B56" t="str">
        <f>IF(Input!$B56="","",Input!$B56)</f>
        <v/>
      </c>
      <c r="C56" t="e">
        <f>IF(Input!$C56="",NA(),SUM(Input!$C$3:'Input'!$C56))</f>
        <v>#N/A</v>
      </c>
      <c r="D56" s="4" t="str">
        <f t="shared" si="2"/>
        <v/>
      </c>
    </row>
    <row r="57" spans="1:4" x14ac:dyDescent="0.3">
      <c r="A57" s="11" t="str">
        <f>IF(Input!$A57="","",Input!$A57)</f>
        <v/>
      </c>
      <c r="B57" t="str">
        <f>IF(Input!$B57="","",Input!$B57)</f>
        <v/>
      </c>
      <c r="C57" t="e">
        <f>IF(Input!$C57="",NA(),SUM(Input!$C$3:'Input'!$C57))</f>
        <v>#N/A</v>
      </c>
      <c r="D57" s="4" t="str">
        <f t="shared" si="2"/>
        <v/>
      </c>
    </row>
    <row r="58" spans="1:4" x14ac:dyDescent="0.3">
      <c r="A58" s="11" t="str">
        <f>IF(Input!$A58="","",Input!$A58)</f>
        <v/>
      </c>
      <c r="B58" t="str">
        <f>IF(Input!$B58="","",Input!$B58)</f>
        <v/>
      </c>
      <c r="C58" t="e">
        <f>IF(Input!$C58="",NA(),SUM(Input!$C$3:'Input'!$C58))</f>
        <v>#N/A</v>
      </c>
      <c r="D58" s="4" t="str">
        <f t="shared" si="2"/>
        <v/>
      </c>
    </row>
    <row r="59" spans="1:4" x14ac:dyDescent="0.3">
      <c r="A59" s="11" t="str">
        <f>IF(Input!$A59="","",Input!$A59)</f>
        <v/>
      </c>
      <c r="B59" t="str">
        <f>IF(Input!$B59="","",Input!$B59)</f>
        <v/>
      </c>
      <c r="C59" t="e">
        <f>IF(Input!$C59="",NA(),SUM(Input!$C$3:'Input'!$C59))</f>
        <v>#N/A</v>
      </c>
      <c r="D59" s="4" t="str">
        <f t="shared" si="2"/>
        <v/>
      </c>
    </row>
    <row r="60" spans="1:4" x14ac:dyDescent="0.3">
      <c r="A60" s="11" t="str">
        <f>IF(Input!$A60="","",Input!$A60)</f>
        <v/>
      </c>
      <c r="B60" t="str">
        <f>IF(Input!$B60="","",Input!$B60)</f>
        <v/>
      </c>
      <c r="C60" t="e">
        <f>IF(Input!$C60="",NA(),SUM(Input!$C$3:'Input'!$C60))</f>
        <v>#N/A</v>
      </c>
      <c r="D60" s="4" t="str">
        <f t="shared" si="2"/>
        <v/>
      </c>
    </row>
    <row r="61" spans="1:4" x14ac:dyDescent="0.3">
      <c r="A61" s="11" t="str">
        <f>IF(Input!$A61="","",Input!$A61)</f>
        <v/>
      </c>
      <c r="B61" t="str">
        <f>IF(Input!$B61="","",Input!$B61)</f>
        <v/>
      </c>
      <c r="C61" t="e">
        <f>IF(Input!$C61="",NA(),SUM(Input!$C$3:'Input'!$C61))</f>
        <v>#N/A</v>
      </c>
      <c r="D61" s="4" t="str">
        <f t="shared" si="2"/>
        <v/>
      </c>
    </row>
    <row r="62" spans="1:4" x14ac:dyDescent="0.3">
      <c r="A62" s="11" t="str">
        <f>IF(Input!$A62="","",Input!$A62)</f>
        <v/>
      </c>
      <c r="B62" t="str">
        <f>IF(Input!$B62="","",Input!$B62)</f>
        <v/>
      </c>
      <c r="C62" t="e">
        <f>IF(Input!$C62="",NA(),SUM(Input!$C$3:'Input'!$C62))</f>
        <v>#N/A</v>
      </c>
      <c r="D62" s="4" t="str">
        <f t="shared" si="2"/>
        <v/>
      </c>
    </row>
    <row r="63" spans="1:4" x14ac:dyDescent="0.3">
      <c r="A63" s="11" t="str">
        <f>IF(Input!$A63="","",Input!$A63)</f>
        <v/>
      </c>
      <c r="B63" t="str">
        <f>IF(Input!$B63="","",Input!$B63)</f>
        <v/>
      </c>
      <c r="C63" t="e">
        <f>IF(Input!$C63="",NA(),SUM(Input!$C$3:'Input'!$C63))</f>
        <v>#N/A</v>
      </c>
      <c r="D63" s="4" t="str">
        <f t="shared" si="2"/>
        <v/>
      </c>
    </row>
    <row r="64" spans="1:4" x14ac:dyDescent="0.3">
      <c r="A64" s="11" t="str">
        <f>IF(Input!$A64="","",Input!$A64)</f>
        <v/>
      </c>
      <c r="B64" t="str">
        <f>IF(Input!$B64="","",Input!$B64)</f>
        <v/>
      </c>
      <c r="C64" t="e">
        <f>IF(Input!$C64="",NA(),SUM(Input!$C$3:'Input'!$C64))</f>
        <v>#N/A</v>
      </c>
      <c r="D64" s="4" t="str">
        <f t="shared" si="2"/>
        <v/>
      </c>
    </row>
    <row r="65" spans="1:4" x14ac:dyDescent="0.3">
      <c r="A65" s="11" t="str">
        <f>IF(Input!$A65="","",Input!$A65)</f>
        <v/>
      </c>
      <c r="B65" t="str">
        <f>IF(Input!$B65="","",Input!$B65)</f>
        <v/>
      </c>
      <c r="C65" t="e">
        <f>IF(Input!$C65="",NA(),SUM(Input!$C$3:'Input'!$C65))</f>
        <v>#N/A</v>
      </c>
      <c r="D65" s="4" t="str">
        <f t="shared" si="2"/>
        <v/>
      </c>
    </row>
    <row r="66" spans="1:4" x14ac:dyDescent="0.3">
      <c r="A66" s="11" t="str">
        <f>IF(Input!$A66="","",Input!$A66)</f>
        <v/>
      </c>
      <c r="B66" t="str">
        <f>IF(Input!$B66="","",Input!$B66)</f>
        <v/>
      </c>
      <c r="C66" t="e">
        <f>IF(Input!$C66="",NA(),SUM(Input!$C$3:'Input'!$C66))</f>
        <v>#N/A</v>
      </c>
      <c r="D66" s="4" t="str">
        <f t="shared" si="2"/>
        <v/>
      </c>
    </row>
    <row r="67" spans="1:4" x14ac:dyDescent="0.3">
      <c r="A67" s="11" t="str">
        <f>IF(Input!$A67="","",Input!$A67)</f>
        <v/>
      </c>
      <c r="B67" t="str">
        <f>IF(Input!$B67="","",Input!$B67)</f>
        <v/>
      </c>
      <c r="C67" t="e">
        <f>IF(Input!$C67="",NA(),SUM(Input!$C$3:'Input'!$C67))</f>
        <v>#N/A</v>
      </c>
      <c r="D67" s="4" t="str">
        <f t="shared" si="2"/>
        <v/>
      </c>
    </row>
    <row r="68" spans="1:4" x14ac:dyDescent="0.3">
      <c r="A68" s="11" t="str">
        <f>IF(Input!$A68="","",Input!$A68)</f>
        <v/>
      </c>
      <c r="B68" t="str">
        <f>IF(Input!$B68="","",Input!$B68)</f>
        <v/>
      </c>
      <c r="C68" t="e">
        <f>IF(Input!$C68="",NA(),SUM(Input!$C$3:'Input'!$C68))</f>
        <v>#N/A</v>
      </c>
      <c r="D68" s="4" t="str">
        <f t="shared" ref="D68:D131" si="4">IF($A68="","",$D67+$B$2/SUMPRODUCT(--($A$3:$A$202&lt;&gt;"")))</f>
        <v/>
      </c>
    </row>
    <row r="69" spans="1:4" x14ac:dyDescent="0.3">
      <c r="A69" s="11" t="str">
        <f>IF(Input!$A69="","",Input!$A69)</f>
        <v/>
      </c>
      <c r="B69" t="str">
        <f>IF(Input!$B69="","",Input!$B69)</f>
        <v/>
      </c>
      <c r="C69" t="e">
        <f>IF(Input!$C69="",NA(),SUM(Input!$C$3:'Input'!$C69))</f>
        <v>#N/A</v>
      </c>
      <c r="D69" s="4" t="str">
        <f t="shared" si="4"/>
        <v/>
      </c>
    </row>
    <row r="70" spans="1:4" x14ac:dyDescent="0.3">
      <c r="A70" s="11" t="str">
        <f>IF(Input!$A70="","",Input!$A70)</f>
        <v/>
      </c>
      <c r="B70" t="str">
        <f>IF(Input!$B70="","",Input!$B70)</f>
        <v/>
      </c>
      <c r="C70" t="e">
        <f>IF(Input!$C70="",NA(),SUM(Input!$C$3:'Input'!$C70))</f>
        <v>#N/A</v>
      </c>
      <c r="D70" s="4" t="str">
        <f t="shared" si="4"/>
        <v/>
      </c>
    </row>
    <row r="71" spans="1:4" x14ac:dyDescent="0.3">
      <c r="A71" s="11" t="str">
        <f>IF(Input!$A71="","",Input!$A71)</f>
        <v/>
      </c>
      <c r="B71" t="str">
        <f>IF(Input!$B71="","",Input!$B71)</f>
        <v/>
      </c>
      <c r="C71" t="e">
        <f>IF(Input!$C71="",NA(),SUM(Input!$C$3:'Input'!$C71))</f>
        <v>#N/A</v>
      </c>
      <c r="D71" s="4" t="str">
        <f t="shared" si="4"/>
        <v/>
      </c>
    </row>
    <row r="72" spans="1:4" x14ac:dyDescent="0.3">
      <c r="A72" s="11" t="str">
        <f>IF(Input!$A72="","",Input!$A72)</f>
        <v/>
      </c>
      <c r="B72" t="str">
        <f>IF(Input!$B72="","",Input!$B72)</f>
        <v/>
      </c>
      <c r="C72" t="e">
        <f>IF(Input!$C72="",NA(),SUM(Input!$C$3:'Input'!$C72))</f>
        <v>#N/A</v>
      </c>
      <c r="D72" s="4" t="str">
        <f t="shared" si="4"/>
        <v/>
      </c>
    </row>
    <row r="73" spans="1:4" x14ac:dyDescent="0.3">
      <c r="A73" s="11" t="str">
        <f>IF(Input!$A73="","",Input!$A73)</f>
        <v/>
      </c>
      <c r="B73" t="str">
        <f>IF(Input!$B73="","",Input!$B73)</f>
        <v/>
      </c>
      <c r="C73" t="e">
        <f>IF(Input!$C73="",NA(),SUM(Input!$C$3:'Input'!$C73))</f>
        <v>#N/A</v>
      </c>
      <c r="D73" s="4" t="str">
        <f t="shared" si="4"/>
        <v/>
      </c>
    </row>
    <row r="74" spans="1:4" x14ac:dyDescent="0.3">
      <c r="A74" s="11" t="str">
        <f>IF(Input!$A74="","",Input!$A74)</f>
        <v/>
      </c>
      <c r="B74" t="str">
        <f>IF(Input!$B74="","",Input!$B74)</f>
        <v/>
      </c>
      <c r="C74" t="e">
        <f>IF(Input!$C74="",NA(),SUM(Input!$C$3:'Input'!$C74))</f>
        <v>#N/A</v>
      </c>
      <c r="D74" s="4" t="str">
        <f t="shared" si="4"/>
        <v/>
      </c>
    </row>
    <row r="75" spans="1:4" x14ac:dyDescent="0.3">
      <c r="A75" s="11" t="str">
        <f>IF(Input!$A75="","",Input!$A75)</f>
        <v/>
      </c>
      <c r="B75" t="str">
        <f>IF(Input!$B75="","",Input!$B75)</f>
        <v/>
      </c>
      <c r="C75" t="e">
        <f>IF(Input!$C75="",NA(),SUM(Input!$C$3:'Input'!$C75))</f>
        <v>#N/A</v>
      </c>
      <c r="D75" s="4" t="str">
        <f t="shared" si="4"/>
        <v/>
      </c>
    </row>
    <row r="76" spans="1:4" x14ac:dyDescent="0.3">
      <c r="A76" s="11" t="str">
        <f>IF(Input!$A76="","",Input!$A76)</f>
        <v/>
      </c>
      <c r="B76" t="str">
        <f>IF(Input!$B76="","",Input!$B76)</f>
        <v/>
      </c>
      <c r="C76" t="e">
        <f>IF(Input!$C76="",NA(),SUM(Input!$C$3:'Input'!$C76))</f>
        <v>#N/A</v>
      </c>
      <c r="D76" s="4" t="str">
        <f t="shared" si="4"/>
        <v/>
      </c>
    </row>
    <row r="77" spans="1:4" x14ac:dyDescent="0.3">
      <c r="A77" s="11" t="str">
        <f>IF(Input!$A77="","",Input!$A77)</f>
        <v/>
      </c>
      <c r="B77" t="str">
        <f>IF(Input!$B77="","",Input!$B77)</f>
        <v/>
      </c>
      <c r="C77" t="e">
        <f>IF(Input!$C77="",NA(),SUM(Input!$C$3:'Input'!$C77))</f>
        <v>#N/A</v>
      </c>
      <c r="D77" s="4" t="str">
        <f t="shared" si="4"/>
        <v/>
      </c>
    </row>
    <row r="78" spans="1:4" x14ac:dyDescent="0.3">
      <c r="A78" s="11" t="str">
        <f>IF(Input!$A78="","",Input!$A78)</f>
        <v/>
      </c>
      <c r="B78" t="str">
        <f>IF(Input!$B78="","",Input!$B78)</f>
        <v/>
      </c>
      <c r="C78" t="e">
        <f>IF(Input!$C78="",NA(),SUM(Input!$C$3:'Input'!$C78))</f>
        <v>#N/A</v>
      </c>
      <c r="D78" s="4" t="str">
        <f t="shared" si="4"/>
        <v/>
      </c>
    </row>
    <row r="79" spans="1:4" x14ac:dyDescent="0.3">
      <c r="A79" s="11" t="str">
        <f>IF(Input!$A79="","",Input!$A79)</f>
        <v/>
      </c>
      <c r="B79" t="str">
        <f>IF(Input!$B79="","",Input!$B79)</f>
        <v/>
      </c>
      <c r="C79" t="e">
        <f>IF(Input!$C79="",NA(),SUM(Input!$C$3:'Input'!$C79))</f>
        <v>#N/A</v>
      </c>
      <c r="D79" s="4" t="str">
        <f t="shared" si="4"/>
        <v/>
      </c>
    </row>
    <row r="80" spans="1:4" x14ac:dyDescent="0.3">
      <c r="A80" s="11" t="str">
        <f>IF(Input!$A80="","",Input!$A80)</f>
        <v/>
      </c>
      <c r="B80" t="str">
        <f>IF(Input!$B80="","",Input!$B80)</f>
        <v/>
      </c>
      <c r="C80" t="e">
        <f>IF(Input!$C80="",NA(),SUM(Input!$C$3:'Input'!$C80))</f>
        <v>#N/A</v>
      </c>
      <c r="D80" s="4" t="str">
        <f t="shared" si="4"/>
        <v/>
      </c>
    </row>
    <row r="81" spans="1:4" x14ac:dyDescent="0.3">
      <c r="A81" s="11" t="str">
        <f>IF(Input!$A81="","",Input!$A81)</f>
        <v/>
      </c>
      <c r="B81" t="str">
        <f>IF(Input!$B81="","",Input!$B81)</f>
        <v/>
      </c>
      <c r="C81" t="e">
        <f>IF(Input!$C81="",NA(),SUM(Input!$C$3:'Input'!$C81))</f>
        <v>#N/A</v>
      </c>
      <c r="D81" s="4" t="str">
        <f t="shared" si="4"/>
        <v/>
      </c>
    </row>
    <row r="82" spans="1:4" x14ac:dyDescent="0.3">
      <c r="A82" s="11" t="str">
        <f>IF(Input!$A82="","",Input!$A82)</f>
        <v/>
      </c>
      <c r="B82" t="str">
        <f>IF(Input!$B82="","",Input!$B82)</f>
        <v/>
      </c>
      <c r="C82" t="e">
        <f>IF(Input!$C82="",NA(),SUM(Input!$C$3:'Input'!$C82))</f>
        <v>#N/A</v>
      </c>
      <c r="D82" s="4" t="str">
        <f t="shared" si="4"/>
        <v/>
      </c>
    </row>
    <row r="83" spans="1:4" x14ac:dyDescent="0.3">
      <c r="A83" s="11" t="str">
        <f>IF(Input!$A83="","",Input!$A83)</f>
        <v/>
      </c>
      <c r="B83" t="str">
        <f>IF(Input!$B83="","",Input!$B83)</f>
        <v/>
      </c>
      <c r="C83" t="e">
        <f>IF(Input!$C83="",NA(),SUM(Input!$C$3:'Input'!$C83))</f>
        <v>#N/A</v>
      </c>
      <c r="D83" s="4" t="str">
        <f t="shared" si="4"/>
        <v/>
      </c>
    </row>
    <row r="84" spans="1:4" x14ac:dyDescent="0.3">
      <c r="A84" s="11" t="str">
        <f>IF(Input!$A84="","",Input!$A84)</f>
        <v/>
      </c>
      <c r="B84" t="str">
        <f>IF(Input!$B84="","",Input!$B84)</f>
        <v/>
      </c>
      <c r="C84" t="e">
        <f>IF(Input!$C84="",NA(),SUM(Input!$C$3:'Input'!$C84))</f>
        <v>#N/A</v>
      </c>
      <c r="D84" s="4" t="str">
        <f t="shared" si="4"/>
        <v/>
      </c>
    </row>
    <row r="85" spans="1:4" x14ac:dyDescent="0.3">
      <c r="A85" s="11" t="str">
        <f>IF(Input!$A85="","",Input!$A85)</f>
        <v/>
      </c>
      <c r="B85" t="str">
        <f>IF(Input!$B85="","",Input!$B85)</f>
        <v/>
      </c>
      <c r="C85" t="e">
        <f>IF(Input!$C85="",NA(),SUM(Input!$C$3:'Input'!$C85))</f>
        <v>#N/A</v>
      </c>
      <c r="D85" s="4" t="str">
        <f t="shared" si="4"/>
        <v/>
      </c>
    </row>
    <row r="86" spans="1:4" x14ac:dyDescent="0.3">
      <c r="A86" s="11" t="str">
        <f>IF(Input!$A86="","",Input!$A86)</f>
        <v/>
      </c>
      <c r="B86" t="str">
        <f>IF(Input!$B86="","",Input!$B86)</f>
        <v/>
      </c>
      <c r="C86" t="e">
        <f>IF(Input!$C86="",NA(),SUM(Input!$C$3:'Input'!$C86))</f>
        <v>#N/A</v>
      </c>
      <c r="D86" s="4" t="str">
        <f t="shared" si="4"/>
        <v/>
      </c>
    </row>
    <row r="87" spans="1:4" x14ac:dyDescent="0.3">
      <c r="A87" s="11" t="str">
        <f>IF(Input!$A87="","",Input!$A87)</f>
        <v/>
      </c>
      <c r="B87" t="str">
        <f>IF(Input!$B87="","",Input!$B87)</f>
        <v/>
      </c>
      <c r="C87" t="e">
        <f>IF(Input!$C87="",NA(),SUM(Input!$C$3:'Input'!$C87))</f>
        <v>#N/A</v>
      </c>
      <c r="D87" s="4" t="str">
        <f t="shared" si="4"/>
        <v/>
      </c>
    </row>
    <row r="88" spans="1:4" x14ac:dyDescent="0.3">
      <c r="A88" s="11" t="str">
        <f>IF(Input!$A88="","",Input!$A88)</f>
        <v/>
      </c>
      <c r="B88" t="str">
        <f>IF(Input!$B88="","",Input!$B88)</f>
        <v/>
      </c>
      <c r="C88" t="e">
        <f>IF(Input!$C88="",NA(),SUM(Input!$C$3:'Input'!$C88))</f>
        <v>#N/A</v>
      </c>
      <c r="D88" s="4" t="str">
        <f t="shared" si="4"/>
        <v/>
      </c>
    </row>
    <row r="89" spans="1:4" x14ac:dyDescent="0.3">
      <c r="A89" s="11" t="str">
        <f>IF(Input!$A89="","",Input!$A89)</f>
        <v/>
      </c>
      <c r="B89" t="str">
        <f>IF(Input!$B89="","",Input!$B89)</f>
        <v/>
      </c>
      <c r="C89" t="e">
        <f>IF(Input!$C89="",NA(),SUM(Input!$C$3:'Input'!$C89))</f>
        <v>#N/A</v>
      </c>
      <c r="D89" s="4" t="str">
        <f t="shared" si="4"/>
        <v/>
      </c>
    </row>
    <row r="90" spans="1:4" x14ac:dyDescent="0.3">
      <c r="A90" s="11" t="str">
        <f>IF(Input!$A90="","",Input!$A90)</f>
        <v/>
      </c>
      <c r="B90" t="str">
        <f>IF(Input!$B90="","",Input!$B90)</f>
        <v/>
      </c>
      <c r="C90" t="e">
        <f>IF(Input!$C90="",NA(),SUM(Input!$C$3:'Input'!$C90))</f>
        <v>#N/A</v>
      </c>
      <c r="D90" s="4" t="str">
        <f t="shared" si="4"/>
        <v/>
      </c>
    </row>
    <row r="91" spans="1:4" x14ac:dyDescent="0.3">
      <c r="A91" s="11" t="str">
        <f>IF(Input!$A91="","",Input!$A91)</f>
        <v/>
      </c>
      <c r="B91" t="str">
        <f>IF(Input!$B91="","",Input!$B91)</f>
        <v/>
      </c>
      <c r="C91" t="e">
        <f>IF(Input!$C91="",NA(),SUM(Input!$C$3:'Input'!$C91))</f>
        <v>#N/A</v>
      </c>
      <c r="D91" s="4" t="str">
        <f t="shared" si="4"/>
        <v/>
      </c>
    </row>
    <row r="92" spans="1:4" x14ac:dyDescent="0.3">
      <c r="A92" s="11" t="str">
        <f>IF(Input!$A92="","",Input!$A92)</f>
        <v/>
      </c>
      <c r="B92" t="str">
        <f>IF(Input!$B92="","",Input!$B92)</f>
        <v/>
      </c>
      <c r="C92" t="e">
        <f>IF(Input!$C92="",NA(),SUM(Input!$C$3:'Input'!$C92))</f>
        <v>#N/A</v>
      </c>
      <c r="D92" s="4" t="str">
        <f t="shared" si="4"/>
        <v/>
      </c>
    </row>
    <row r="93" spans="1:4" x14ac:dyDescent="0.3">
      <c r="A93" s="11" t="str">
        <f>IF(Input!$A93="","",Input!$A93)</f>
        <v/>
      </c>
      <c r="B93" t="str">
        <f>IF(Input!$B93="","",Input!$B93)</f>
        <v/>
      </c>
      <c r="C93" t="e">
        <f>IF(Input!$C93="",NA(),SUM(Input!$C$3:'Input'!$C93))</f>
        <v>#N/A</v>
      </c>
      <c r="D93" s="4" t="str">
        <f t="shared" si="4"/>
        <v/>
      </c>
    </row>
    <row r="94" spans="1:4" x14ac:dyDescent="0.3">
      <c r="A94" s="11" t="str">
        <f>IF(Input!$A94="","",Input!$A94)</f>
        <v/>
      </c>
      <c r="B94" t="str">
        <f>IF(Input!$B94="","",Input!$B94)</f>
        <v/>
      </c>
      <c r="C94" t="e">
        <f>IF(Input!$C94="",NA(),SUM(Input!$C$3:'Input'!$C94))</f>
        <v>#N/A</v>
      </c>
      <c r="D94" s="4" t="str">
        <f t="shared" si="4"/>
        <v/>
      </c>
    </row>
    <row r="95" spans="1:4" x14ac:dyDescent="0.3">
      <c r="A95" s="11" t="str">
        <f>IF(Input!$A95="","",Input!$A95)</f>
        <v/>
      </c>
      <c r="B95" t="str">
        <f>IF(Input!$B95="","",Input!$B95)</f>
        <v/>
      </c>
      <c r="C95" t="e">
        <f>IF(Input!$C95="",NA(),SUM(Input!$C$3:'Input'!$C95))</f>
        <v>#N/A</v>
      </c>
      <c r="D95" s="4" t="str">
        <f t="shared" si="4"/>
        <v/>
      </c>
    </row>
    <row r="96" spans="1:4" x14ac:dyDescent="0.3">
      <c r="A96" s="11" t="str">
        <f>IF(Input!$A96="","",Input!$A96)</f>
        <v/>
      </c>
      <c r="B96" t="str">
        <f>IF(Input!$B96="","",Input!$B96)</f>
        <v/>
      </c>
      <c r="C96" t="e">
        <f>IF(Input!$C96="",NA(),SUM(Input!$C$3:'Input'!$C96))</f>
        <v>#N/A</v>
      </c>
      <c r="D96" s="4" t="str">
        <f t="shared" si="4"/>
        <v/>
      </c>
    </row>
    <row r="97" spans="1:4" x14ac:dyDescent="0.3">
      <c r="A97" s="11" t="str">
        <f>IF(Input!$A97="","",Input!$A97)</f>
        <v/>
      </c>
      <c r="B97" t="str">
        <f>IF(Input!$B97="","",Input!$B97)</f>
        <v/>
      </c>
      <c r="C97" t="e">
        <f>IF(Input!$C97="",NA(),SUM(Input!$C$3:'Input'!$C97))</f>
        <v>#N/A</v>
      </c>
      <c r="D97" s="4" t="str">
        <f t="shared" si="4"/>
        <v/>
      </c>
    </row>
    <row r="98" spans="1:4" x14ac:dyDescent="0.3">
      <c r="A98" s="11" t="str">
        <f>IF(Input!$A98="","",Input!$A98)</f>
        <v/>
      </c>
      <c r="B98" t="str">
        <f>IF(Input!$B98="","",Input!$B98)</f>
        <v/>
      </c>
      <c r="C98" t="e">
        <f>IF(Input!$C98="",NA(),SUM(Input!$C$3:'Input'!$C98))</f>
        <v>#N/A</v>
      </c>
      <c r="D98" s="4" t="str">
        <f t="shared" si="4"/>
        <v/>
      </c>
    </row>
    <row r="99" spans="1:4" x14ac:dyDescent="0.3">
      <c r="A99" s="11" t="str">
        <f>IF(Input!$A99="","",Input!$A99)</f>
        <v/>
      </c>
      <c r="B99" t="str">
        <f>IF(Input!$B99="","",Input!$B99)</f>
        <v/>
      </c>
      <c r="C99" t="e">
        <f>IF(Input!$C99="",NA(),SUM(Input!$C$3:'Input'!$C99))</f>
        <v>#N/A</v>
      </c>
      <c r="D99" s="4" t="str">
        <f t="shared" si="4"/>
        <v/>
      </c>
    </row>
    <row r="100" spans="1:4" x14ac:dyDescent="0.3">
      <c r="A100" s="11" t="str">
        <f>IF(Input!$A100="","",Input!$A100)</f>
        <v/>
      </c>
      <c r="B100" t="str">
        <f>IF(Input!$B100="","",Input!$B100)</f>
        <v/>
      </c>
      <c r="C100" t="e">
        <f>IF(Input!$C100="",NA(),SUM(Input!$C$3:'Input'!$C100))</f>
        <v>#N/A</v>
      </c>
      <c r="D100" s="4" t="str">
        <f t="shared" si="4"/>
        <v/>
      </c>
    </row>
    <row r="101" spans="1:4" x14ac:dyDescent="0.3">
      <c r="A101" s="11" t="str">
        <f>IF(Input!$A101="","",Input!$A101)</f>
        <v/>
      </c>
      <c r="B101" t="str">
        <f>IF(Input!$B101="","",Input!$B101)</f>
        <v/>
      </c>
      <c r="C101" t="e">
        <f>IF(Input!$C101="",NA(),SUM(Input!$C$3:'Input'!$C101))</f>
        <v>#N/A</v>
      </c>
      <c r="D101" s="4" t="str">
        <f t="shared" si="4"/>
        <v/>
      </c>
    </row>
    <row r="102" spans="1:4" x14ac:dyDescent="0.3">
      <c r="A102" s="11" t="str">
        <f>IF(Input!$A102="","",Input!$A102)</f>
        <v/>
      </c>
      <c r="B102" t="str">
        <f>IF(Input!$B102="","",Input!$B102)</f>
        <v/>
      </c>
      <c r="C102" t="e">
        <f>IF(Input!$C102="",NA(),SUM(Input!$C$3:'Input'!$C102))</f>
        <v>#N/A</v>
      </c>
      <c r="D102" s="4" t="str">
        <f t="shared" si="4"/>
        <v/>
      </c>
    </row>
    <row r="103" spans="1:4" x14ac:dyDescent="0.3">
      <c r="A103" s="11" t="str">
        <f>IF(Input!$A103="","",Input!$A103)</f>
        <v/>
      </c>
      <c r="B103" t="str">
        <f>IF(Input!$B103="","",Input!$B103)</f>
        <v/>
      </c>
      <c r="C103" t="e">
        <f>IF(Input!$C103="",NA(),SUM(Input!$C$3:'Input'!$C103))</f>
        <v>#N/A</v>
      </c>
      <c r="D103" s="4" t="str">
        <f t="shared" si="4"/>
        <v/>
      </c>
    </row>
    <row r="104" spans="1:4" x14ac:dyDescent="0.3">
      <c r="A104" s="11" t="str">
        <f>IF(Input!$A104="","",Input!$A104)</f>
        <v/>
      </c>
      <c r="B104" t="str">
        <f>IF(Input!$B104="","",Input!$B104)</f>
        <v/>
      </c>
      <c r="C104" t="e">
        <f>IF(Input!$C104="",NA(),SUM(Input!$C$3:'Input'!$C104))</f>
        <v>#N/A</v>
      </c>
      <c r="D104" s="4" t="str">
        <f t="shared" si="4"/>
        <v/>
      </c>
    </row>
    <row r="105" spans="1:4" x14ac:dyDescent="0.3">
      <c r="A105" s="11" t="str">
        <f>IF(Input!$A105="","",Input!$A105)</f>
        <v/>
      </c>
      <c r="B105" t="str">
        <f>IF(Input!$B105="","",Input!$B105)</f>
        <v/>
      </c>
      <c r="C105" t="e">
        <f>IF(Input!$C105="",NA(),SUM(Input!$C$3:'Input'!$C105))</f>
        <v>#N/A</v>
      </c>
      <c r="D105" s="4" t="str">
        <f t="shared" si="4"/>
        <v/>
      </c>
    </row>
    <row r="106" spans="1:4" x14ac:dyDescent="0.3">
      <c r="A106" s="11" t="str">
        <f>IF(Input!$A106="","",Input!$A106)</f>
        <v/>
      </c>
      <c r="B106" t="str">
        <f>IF(Input!$B106="","",Input!$B106)</f>
        <v/>
      </c>
      <c r="C106" t="e">
        <f>IF(Input!$C106="",NA(),SUM(Input!$C$3:'Input'!$C106))</f>
        <v>#N/A</v>
      </c>
      <c r="D106" s="4" t="str">
        <f t="shared" si="4"/>
        <v/>
      </c>
    </row>
    <row r="107" spans="1:4" x14ac:dyDescent="0.3">
      <c r="A107" s="11" t="str">
        <f>IF(Input!$A107="","",Input!$A107)</f>
        <v/>
      </c>
      <c r="B107" t="str">
        <f>IF(Input!$B107="","",Input!$B107)</f>
        <v/>
      </c>
      <c r="C107" t="e">
        <f>IF(Input!$C107="",NA(),SUM(Input!$C$3:'Input'!$C107))</f>
        <v>#N/A</v>
      </c>
      <c r="D107" s="4" t="str">
        <f t="shared" si="4"/>
        <v/>
      </c>
    </row>
    <row r="108" spans="1:4" x14ac:dyDescent="0.3">
      <c r="A108" s="11" t="str">
        <f>IF(Input!$A108="","",Input!$A108)</f>
        <v/>
      </c>
      <c r="B108" t="str">
        <f>IF(Input!$B108="","",Input!$B108)</f>
        <v/>
      </c>
      <c r="C108" t="e">
        <f>IF(Input!$C108="",NA(),SUM(Input!$C$3:'Input'!$C108))</f>
        <v>#N/A</v>
      </c>
      <c r="D108" s="4" t="str">
        <f t="shared" si="4"/>
        <v/>
      </c>
    </row>
    <row r="109" spans="1:4" x14ac:dyDescent="0.3">
      <c r="A109" s="11" t="str">
        <f>IF(Input!$A109="","",Input!$A109)</f>
        <v/>
      </c>
      <c r="B109" t="str">
        <f>IF(Input!$B109="","",Input!$B109)</f>
        <v/>
      </c>
      <c r="C109" t="e">
        <f>IF(Input!$C109="",NA(),SUM(Input!$C$3:'Input'!$C109))</f>
        <v>#N/A</v>
      </c>
      <c r="D109" s="4" t="str">
        <f t="shared" si="4"/>
        <v/>
      </c>
    </row>
    <row r="110" spans="1:4" x14ac:dyDescent="0.3">
      <c r="A110" s="11" t="str">
        <f>IF(Input!$A110="","",Input!$A110)</f>
        <v/>
      </c>
      <c r="B110" t="str">
        <f>IF(Input!$B110="","",Input!$B110)</f>
        <v/>
      </c>
      <c r="C110" t="e">
        <f>IF(Input!$C110="",NA(),SUM(Input!$C$3:'Input'!$C110))</f>
        <v>#N/A</v>
      </c>
      <c r="D110" s="4" t="str">
        <f t="shared" si="4"/>
        <v/>
      </c>
    </row>
    <row r="111" spans="1:4" x14ac:dyDescent="0.3">
      <c r="A111" s="11" t="str">
        <f>IF(Input!$A111="","",Input!$A111)</f>
        <v/>
      </c>
      <c r="B111" t="str">
        <f>IF(Input!$B111="","",Input!$B111)</f>
        <v/>
      </c>
      <c r="C111" t="e">
        <f>IF(Input!$C111="",NA(),SUM(Input!$C$3:'Input'!$C111))</f>
        <v>#N/A</v>
      </c>
      <c r="D111" s="4" t="str">
        <f t="shared" si="4"/>
        <v/>
      </c>
    </row>
    <row r="112" spans="1:4" x14ac:dyDescent="0.3">
      <c r="A112" s="11" t="str">
        <f>IF(Input!$A112="","",Input!$A112)</f>
        <v/>
      </c>
      <c r="B112" t="str">
        <f>IF(Input!$B112="","",Input!$B112)</f>
        <v/>
      </c>
      <c r="C112" t="e">
        <f>IF(Input!$C112="",NA(),SUM(Input!$C$3:'Input'!$C112))</f>
        <v>#N/A</v>
      </c>
      <c r="D112" s="4" t="str">
        <f t="shared" si="4"/>
        <v/>
      </c>
    </row>
    <row r="113" spans="1:4" x14ac:dyDescent="0.3">
      <c r="A113" s="11" t="str">
        <f>IF(Input!$A113="","",Input!$A113)</f>
        <v/>
      </c>
      <c r="B113" t="str">
        <f>IF(Input!$B113="","",Input!$B113)</f>
        <v/>
      </c>
      <c r="C113" t="e">
        <f>IF(Input!$C113="",NA(),SUM(Input!$C$3:'Input'!$C113))</f>
        <v>#N/A</v>
      </c>
      <c r="D113" s="4" t="str">
        <f t="shared" si="4"/>
        <v/>
      </c>
    </row>
    <row r="114" spans="1:4" x14ac:dyDescent="0.3">
      <c r="A114" s="11" t="str">
        <f>IF(Input!$A114="","",Input!$A114)</f>
        <v/>
      </c>
      <c r="B114" t="str">
        <f>IF(Input!$B114="","",Input!$B114)</f>
        <v/>
      </c>
      <c r="C114" t="e">
        <f>IF(Input!$C114="",NA(),SUM(Input!$C$3:'Input'!$C114))</f>
        <v>#N/A</v>
      </c>
      <c r="D114" s="4" t="str">
        <f t="shared" si="4"/>
        <v/>
      </c>
    </row>
    <row r="115" spans="1:4" x14ac:dyDescent="0.3">
      <c r="A115" s="11" t="str">
        <f>IF(Input!$A115="","",Input!$A115)</f>
        <v/>
      </c>
      <c r="B115" t="str">
        <f>IF(Input!$B115="","",Input!$B115)</f>
        <v/>
      </c>
      <c r="C115" t="e">
        <f>IF(Input!$C115="",NA(),SUM(Input!$C$3:'Input'!$C115))</f>
        <v>#N/A</v>
      </c>
      <c r="D115" s="4" t="str">
        <f t="shared" si="4"/>
        <v/>
      </c>
    </row>
    <row r="116" spans="1:4" x14ac:dyDescent="0.3">
      <c r="A116" s="11" t="str">
        <f>IF(Input!$A116="","",Input!$A116)</f>
        <v/>
      </c>
      <c r="B116" t="str">
        <f>IF(Input!$B116="","",Input!$B116)</f>
        <v/>
      </c>
      <c r="C116" t="e">
        <f>IF(Input!$C116="",NA(),SUM(Input!$C$3:'Input'!$C116))</f>
        <v>#N/A</v>
      </c>
      <c r="D116" s="4" t="str">
        <f t="shared" si="4"/>
        <v/>
      </c>
    </row>
    <row r="117" spans="1:4" x14ac:dyDescent="0.3">
      <c r="A117" s="11" t="str">
        <f>IF(Input!$A117="","",Input!$A117)</f>
        <v/>
      </c>
      <c r="B117" t="str">
        <f>IF(Input!$B117="","",Input!$B117)</f>
        <v/>
      </c>
      <c r="C117" t="e">
        <f>IF(Input!$C117="",NA(),SUM(Input!$C$3:'Input'!$C117))</f>
        <v>#N/A</v>
      </c>
      <c r="D117" s="4" t="str">
        <f t="shared" si="4"/>
        <v/>
      </c>
    </row>
    <row r="118" spans="1:4" x14ac:dyDescent="0.3">
      <c r="A118" s="11" t="str">
        <f>IF(Input!$A118="","",Input!$A118)</f>
        <v/>
      </c>
      <c r="B118" t="str">
        <f>IF(Input!$B118="","",Input!$B118)</f>
        <v/>
      </c>
      <c r="C118" t="e">
        <f>IF(Input!$C118="",NA(),SUM(Input!$C$3:'Input'!$C118))</f>
        <v>#N/A</v>
      </c>
      <c r="D118" s="4" t="str">
        <f t="shared" si="4"/>
        <v/>
      </c>
    </row>
    <row r="119" spans="1:4" x14ac:dyDescent="0.3">
      <c r="A119" s="11" t="str">
        <f>IF(Input!$A119="","",Input!$A119)</f>
        <v/>
      </c>
      <c r="B119" t="str">
        <f>IF(Input!$B119="","",Input!$B119)</f>
        <v/>
      </c>
      <c r="C119" t="e">
        <f>IF(Input!$C119="",NA(),SUM(Input!$C$3:'Input'!$C119))</f>
        <v>#N/A</v>
      </c>
      <c r="D119" s="4" t="str">
        <f t="shared" si="4"/>
        <v/>
      </c>
    </row>
    <row r="120" spans="1:4" x14ac:dyDescent="0.3">
      <c r="A120" s="11" t="str">
        <f>IF(Input!$A120="","",Input!$A120)</f>
        <v/>
      </c>
      <c r="B120" t="str">
        <f>IF(Input!$B120="","",Input!$B120)</f>
        <v/>
      </c>
      <c r="C120" t="e">
        <f>IF(Input!$C120="",NA(),SUM(Input!$C$3:'Input'!$C120))</f>
        <v>#N/A</v>
      </c>
      <c r="D120" s="4" t="str">
        <f t="shared" si="4"/>
        <v/>
      </c>
    </row>
    <row r="121" spans="1:4" x14ac:dyDescent="0.3">
      <c r="A121" s="11" t="str">
        <f>IF(Input!$A121="","",Input!$A121)</f>
        <v/>
      </c>
      <c r="B121" t="str">
        <f>IF(Input!$B121="","",Input!$B121)</f>
        <v/>
      </c>
      <c r="C121" t="e">
        <f>IF(Input!$C121="",NA(),SUM(Input!$C$3:'Input'!$C121))</f>
        <v>#N/A</v>
      </c>
      <c r="D121" s="4" t="str">
        <f t="shared" si="4"/>
        <v/>
      </c>
    </row>
    <row r="122" spans="1:4" x14ac:dyDescent="0.3">
      <c r="A122" s="11" t="str">
        <f>IF(Input!$A122="","",Input!$A122)</f>
        <v/>
      </c>
      <c r="B122" t="str">
        <f>IF(Input!$B122="","",Input!$B122)</f>
        <v/>
      </c>
      <c r="C122" t="e">
        <f>IF(Input!$C122="",NA(),SUM(Input!$C$3:'Input'!$C122))</f>
        <v>#N/A</v>
      </c>
      <c r="D122" s="4" t="str">
        <f t="shared" si="4"/>
        <v/>
      </c>
    </row>
    <row r="123" spans="1:4" x14ac:dyDescent="0.3">
      <c r="A123" s="11" t="str">
        <f>IF(Input!$A123="","",Input!$A123)</f>
        <v/>
      </c>
      <c r="B123" t="str">
        <f>IF(Input!$B123="","",Input!$B123)</f>
        <v/>
      </c>
      <c r="C123" t="e">
        <f>IF(Input!$C123="",NA(),SUM(Input!$C$3:'Input'!$C123))</f>
        <v>#N/A</v>
      </c>
      <c r="D123" s="4" t="str">
        <f t="shared" si="4"/>
        <v/>
      </c>
    </row>
    <row r="124" spans="1:4" x14ac:dyDescent="0.3">
      <c r="A124" s="11" t="str">
        <f>IF(Input!$A124="","",Input!$A124)</f>
        <v/>
      </c>
      <c r="B124" t="str">
        <f>IF(Input!$B124="","",Input!$B124)</f>
        <v/>
      </c>
      <c r="C124" t="e">
        <f>IF(Input!$C124="",NA(),SUM(Input!$C$3:'Input'!$C124))</f>
        <v>#N/A</v>
      </c>
      <c r="D124" s="4" t="str">
        <f t="shared" si="4"/>
        <v/>
      </c>
    </row>
    <row r="125" spans="1:4" x14ac:dyDescent="0.3">
      <c r="A125" s="11" t="str">
        <f>IF(Input!$A125="","",Input!$A125)</f>
        <v/>
      </c>
      <c r="B125" t="str">
        <f>IF(Input!$B125="","",Input!$B125)</f>
        <v/>
      </c>
      <c r="C125" t="e">
        <f>IF(Input!$C125="",NA(),SUM(Input!$C$3:'Input'!$C125))</f>
        <v>#N/A</v>
      </c>
      <c r="D125" s="4" t="str">
        <f t="shared" si="4"/>
        <v/>
      </c>
    </row>
    <row r="126" spans="1:4" x14ac:dyDescent="0.3">
      <c r="A126" s="11" t="str">
        <f>IF(Input!$A126="","",Input!$A126)</f>
        <v/>
      </c>
      <c r="B126" t="str">
        <f>IF(Input!$B126="","",Input!$B126)</f>
        <v/>
      </c>
      <c r="C126" t="e">
        <f>IF(Input!$C126="",NA(),SUM(Input!$C$3:'Input'!$C126))</f>
        <v>#N/A</v>
      </c>
      <c r="D126" s="4" t="str">
        <f t="shared" si="4"/>
        <v/>
      </c>
    </row>
    <row r="127" spans="1:4" x14ac:dyDescent="0.3">
      <c r="A127" s="11" t="str">
        <f>IF(Input!$A127="","",Input!$A127)</f>
        <v/>
      </c>
      <c r="B127" t="str">
        <f>IF(Input!$B127="","",Input!$B127)</f>
        <v/>
      </c>
      <c r="C127" t="e">
        <f>IF(Input!$C127="",NA(),SUM(Input!$C$3:'Input'!$C127))</f>
        <v>#N/A</v>
      </c>
      <c r="D127" s="4" t="str">
        <f t="shared" si="4"/>
        <v/>
      </c>
    </row>
    <row r="128" spans="1:4" x14ac:dyDescent="0.3">
      <c r="A128" s="11" t="str">
        <f>IF(Input!$A128="","",Input!$A128)</f>
        <v/>
      </c>
      <c r="B128" t="str">
        <f>IF(Input!$B128="","",Input!$B128)</f>
        <v/>
      </c>
      <c r="C128" t="e">
        <f>IF(Input!$C128="",NA(),SUM(Input!$C$3:'Input'!$C128))</f>
        <v>#N/A</v>
      </c>
      <c r="D128" s="4" t="str">
        <f t="shared" si="4"/>
        <v/>
      </c>
    </row>
    <row r="129" spans="1:4" x14ac:dyDescent="0.3">
      <c r="A129" s="11" t="str">
        <f>IF(Input!$A129="","",Input!$A129)</f>
        <v/>
      </c>
      <c r="B129" t="str">
        <f>IF(Input!$B129="","",Input!$B129)</f>
        <v/>
      </c>
      <c r="C129" t="e">
        <f>IF(Input!$C129="",NA(),SUM(Input!$C$3:'Input'!$C129))</f>
        <v>#N/A</v>
      </c>
      <c r="D129" s="4" t="str">
        <f t="shared" si="4"/>
        <v/>
      </c>
    </row>
    <row r="130" spans="1:4" x14ac:dyDescent="0.3">
      <c r="A130" s="11" t="str">
        <f>IF(Input!$A130="","",Input!$A130)</f>
        <v/>
      </c>
      <c r="B130" t="str">
        <f>IF(Input!$B130="","",Input!$B130)</f>
        <v/>
      </c>
      <c r="C130" t="e">
        <f>IF(Input!$C130="",NA(),SUM(Input!$C$3:'Input'!$C130))</f>
        <v>#N/A</v>
      </c>
      <c r="D130" s="4" t="str">
        <f t="shared" si="4"/>
        <v/>
      </c>
    </row>
    <row r="131" spans="1:4" x14ac:dyDescent="0.3">
      <c r="A131" s="11" t="str">
        <f>IF(Input!$A131="","",Input!$A131)</f>
        <v/>
      </c>
      <c r="B131" t="str">
        <f>IF(Input!$B131="","",Input!$B131)</f>
        <v/>
      </c>
      <c r="C131" t="e">
        <f>IF(Input!$C131="",NA(),SUM(Input!$C$3:'Input'!$C131))</f>
        <v>#N/A</v>
      </c>
      <c r="D131" s="4" t="str">
        <f t="shared" si="4"/>
        <v/>
      </c>
    </row>
    <row r="132" spans="1:4" x14ac:dyDescent="0.3">
      <c r="A132" s="11" t="str">
        <f>IF(Input!$A132="","",Input!$A132)</f>
        <v/>
      </c>
      <c r="B132" t="str">
        <f>IF(Input!$B132="","",Input!$B132)</f>
        <v/>
      </c>
      <c r="C132" t="e">
        <f>IF(Input!$C132="",NA(),SUM(Input!$C$3:'Input'!$C132))</f>
        <v>#N/A</v>
      </c>
      <c r="D132" s="4" t="str">
        <f t="shared" ref="D132:D195" si="5">IF($A132="","",$D131+$B$2/SUMPRODUCT(--($A$3:$A$202&lt;&gt;"")))</f>
        <v/>
      </c>
    </row>
    <row r="133" spans="1:4" x14ac:dyDescent="0.3">
      <c r="A133" s="11" t="str">
        <f>IF(Input!$A133="","",Input!$A133)</f>
        <v/>
      </c>
      <c r="B133" t="str">
        <f>IF(Input!$B133="","",Input!$B133)</f>
        <v/>
      </c>
      <c r="C133" t="e">
        <f>IF(Input!$C133="",NA(),SUM(Input!$C$3:'Input'!$C133))</f>
        <v>#N/A</v>
      </c>
      <c r="D133" s="4" t="str">
        <f t="shared" si="5"/>
        <v/>
      </c>
    </row>
    <row r="134" spans="1:4" x14ac:dyDescent="0.3">
      <c r="A134" s="11" t="str">
        <f>IF(Input!$A134="","",Input!$A134)</f>
        <v/>
      </c>
      <c r="B134" t="str">
        <f>IF(Input!$B134="","",Input!$B134)</f>
        <v/>
      </c>
      <c r="C134" t="e">
        <f>IF(Input!$C134="",NA(),SUM(Input!$C$3:'Input'!$C134))</f>
        <v>#N/A</v>
      </c>
      <c r="D134" s="4" t="str">
        <f t="shared" si="5"/>
        <v/>
      </c>
    </row>
    <row r="135" spans="1:4" x14ac:dyDescent="0.3">
      <c r="A135" s="11" t="str">
        <f>IF(Input!$A135="","",Input!$A135)</f>
        <v/>
      </c>
      <c r="B135" t="str">
        <f>IF(Input!$B135="","",Input!$B135)</f>
        <v/>
      </c>
      <c r="C135" t="e">
        <f>IF(Input!$C135="",NA(),SUM(Input!$C$3:'Input'!$C135))</f>
        <v>#N/A</v>
      </c>
      <c r="D135" s="4" t="str">
        <f t="shared" si="5"/>
        <v/>
      </c>
    </row>
    <row r="136" spans="1:4" x14ac:dyDescent="0.3">
      <c r="A136" s="11" t="str">
        <f>IF(Input!$A136="","",Input!$A136)</f>
        <v/>
      </c>
      <c r="B136" t="str">
        <f>IF(Input!$B136="","",Input!$B136)</f>
        <v/>
      </c>
      <c r="C136" t="e">
        <f>IF(Input!$C136="",NA(),SUM(Input!$C$3:'Input'!$C136))</f>
        <v>#N/A</v>
      </c>
      <c r="D136" s="4" t="str">
        <f t="shared" si="5"/>
        <v/>
      </c>
    </row>
    <row r="137" spans="1:4" x14ac:dyDescent="0.3">
      <c r="A137" s="11" t="str">
        <f>IF(Input!$A137="","",Input!$A137)</f>
        <v/>
      </c>
      <c r="B137" t="str">
        <f>IF(Input!$B137="","",Input!$B137)</f>
        <v/>
      </c>
      <c r="C137" t="e">
        <f>IF(Input!$C137="",NA(),SUM(Input!$C$3:'Input'!$C137))</f>
        <v>#N/A</v>
      </c>
      <c r="D137" s="4" t="str">
        <f t="shared" si="5"/>
        <v/>
      </c>
    </row>
    <row r="138" spans="1:4" x14ac:dyDescent="0.3">
      <c r="A138" s="11" t="str">
        <f>IF(Input!$A138="","",Input!$A138)</f>
        <v/>
      </c>
      <c r="B138" t="str">
        <f>IF(Input!$B138="","",Input!$B138)</f>
        <v/>
      </c>
      <c r="C138" t="e">
        <f>IF(Input!$C138="",NA(),SUM(Input!$C$3:'Input'!$C138))</f>
        <v>#N/A</v>
      </c>
      <c r="D138" s="4" t="str">
        <f t="shared" si="5"/>
        <v/>
      </c>
    </row>
    <row r="139" spans="1:4" x14ac:dyDescent="0.3">
      <c r="A139" s="11" t="str">
        <f>IF(Input!$A139="","",Input!$A139)</f>
        <v/>
      </c>
      <c r="B139" t="str">
        <f>IF(Input!$B139="","",Input!$B139)</f>
        <v/>
      </c>
      <c r="C139" t="e">
        <f>IF(Input!$C139="",NA(),SUM(Input!$C$3:'Input'!$C139))</f>
        <v>#N/A</v>
      </c>
      <c r="D139" s="4" t="str">
        <f t="shared" si="5"/>
        <v/>
      </c>
    </row>
    <row r="140" spans="1:4" x14ac:dyDescent="0.3">
      <c r="A140" s="11" t="str">
        <f>IF(Input!$A140="","",Input!$A140)</f>
        <v/>
      </c>
      <c r="B140" t="str">
        <f>IF(Input!$B140="","",Input!$B140)</f>
        <v/>
      </c>
      <c r="C140" t="e">
        <f>IF(Input!$C140="",NA(),SUM(Input!$C$3:'Input'!$C140))</f>
        <v>#N/A</v>
      </c>
      <c r="D140" s="4" t="str">
        <f t="shared" si="5"/>
        <v/>
      </c>
    </row>
    <row r="141" spans="1:4" x14ac:dyDescent="0.3">
      <c r="A141" s="11" t="str">
        <f>IF(Input!$A141="","",Input!$A141)</f>
        <v/>
      </c>
      <c r="B141" t="str">
        <f>IF(Input!$B141="","",Input!$B141)</f>
        <v/>
      </c>
      <c r="C141" t="e">
        <f>IF(Input!$C141="",NA(),SUM(Input!$C$3:'Input'!$C141))</f>
        <v>#N/A</v>
      </c>
      <c r="D141" s="4" t="str">
        <f t="shared" si="5"/>
        <v/>
      </c>
    </row>
    <row r="142" spans="1:4" x14ac:dyDescent="0.3">
      <c r="A142" s="11" t="str">
        <f>IF(Input!$A142="","",Input!$A142)</f>
        <v/>
      </c>
      <c r="B142" t="str">
        <f>IF(Input!$B142="","",Input!$B142)</f>
        <v/>
      </c>
      <c r="C142" t="e">
        <f>IF(Input!$C142="",NA(),SUM(Input!$C$3:'Input'!$C142))</f>
        <v>#N/A</v>
      </c>
      <c r="D142" s="4" t="str">
        <f t="shared" si="5"/>
        <v/>
      </c>
    </row>
    <row r="143" spans="1:4" x14ac:dyDescent="0.3">
      <c r="A143" s="11" t="str">
        <f>IF(Input!$A143="","",Input!$A143)</f>
        <v/>
      </c>
      <c r="B143" t="str">
        <f>IF(Input!$B143="","",Input!$B143)</f>
        <v/>
      </c>
      <c r="C143" t="e">
        <f>IF(Input!$C143="",NA(),SUM(Input!$C$3:'Input'!$C143))</f>
        <v>#N/A</v>
      </c>
      <c r="D143" s="4" t="str">
        <f t="shared" si="5"/>
        <v/>
      </c>
    </row>
    <row r="144" spans="1:4" x14ac:dyDescent="0.3">
      <c r="A144" s="11" t="str">
        <f>IF(Input!$A144="","",Input!$A144)</f>
        <v/>
      </c>
      <c r="B144" t="str">
        <f>IF(Input!$B144="","",Input!$B144)</f>
        <v/>
      </c>
      <c r="C144" t="e">
        <f>IF(Input!$C144="",NA(),SUM(Input!$C$3:'Input'!$C144))</f>
        <v>#N/A</v>
      </c>
      <c r="D144" s="4" t="str">
        <f t="shared" si="5"/>
        <v/>
      </c>
    </row>
    <row r="145" spans="1:4" x14ac:dyDescent="0.3">
      <c r="A145" s="11" t="str">
        <f>IF(Input!$A145="","",Input!$A145)</f>
        <v/>
      </c>
      <c r="B145" t="str">
        <f>IF(Input!$B145="","",Input!$B145)</f>
        <v/>
      </c>
      <c r="C145" t="e">
        <f>IF(Input!$C145="",NA(),SUM(Input!$C$3:'Input'!$C145))</f>
        <v>#N/A</v>
      </c>
      <c r="D145" s="4" t="str">
        <f t="shared" si="5"/>
        <v/>
      </c>
    </row>
    <row r="146" spans="1:4" x14ac:dyDescent="0.3">
      <c r="A146" s="11" t="str">
        <f>IF(Input!$A146="","",Input!$A146)</f>
        <v/>
      </c>
      <c r="B146" t="str">
        <f>IF(Input!$B146="","",Input!$B146)</f>
        <v/>
      </c>
      <c r="C146" t="e">
        <f>IF(Input!$C146="",NA(),SUM(Input!$C$3:'Input'!$C146))</f>
        <v>#N/A</v>
      </c>
      <c r="D146" s="4" t="str">
        <f t="shared" si="5"/>
        <v/>
      </c>
    </row>
    <row r="147" spans="1:4" x14ac:dyDescent="0.3">
      <c r="A147" s="11" t="str">
        <f>IF(Input!$A147="","",Input!$A147)</f>
        <v/>
      </c>
      <c r="B147" t="str">
        <f>IF(Input!$B147="","",Input!$B147)</f>
        <v/>
      </c>
      <c r="C147" t="e">
        <f>IF(Input!$C147="",NA(),SUM(Input!$C$3:'Input'!$C147))</f>
        <v>#N/A</v>
      </c>
      <c r="D147" s="4" t="str">
        <f t="shared" si="5"/>
        <v/>
      </c>
    </row>
    <row r="148" spans="1:4" x14ac:dyDescent="0.3">
      <c r="A148" s="11" t="str">
        <f>IF(Input!$A148="","",Input!$A148)</f>
        <v/>
      </c>
      <c r="B148" t="str">
        <f>IF(Input!$B148="","",Input!$B148)</f>
        <v/>
      </c>
      <c r="C148" t="e">
        <f>IF(Input!$C148="",NA(),SUM(Input!$C$3:'Input'!$C148))</f>
        <v>#N/A</v>
      </c>
      <c r="D148" s="4" t="str">
        <f t="shared" si="5"/>
        <v/>
      </c>
    </row>
    <row r="149" spans="1:4" x14ac:dyDescent="0.3">
      <c r="A149" s="11" t="str">
        <f>IF(Input!$A149="","",Input!$A149)</f>
        <v/>
      </c>
      <c r="B149" t="str">
        <f>IF(Input!$B149="","",Input!$B149)</f>
        <v/>
      </c>
      <c r="C149" t="e">
        <f>IF(Input!$C149="",NA(),SUM(Input!$C$3:'Input'!$C149))</f>
        <v>#N/A</v>
      </c>
      <c r="D149" s="4" t="str">
        <f t="shared" si="5"/>
        <v/>
      </c>
    </row>
    <row r="150" spans="1:4" x14ac:dyDescent="0.3">
      <c r="A150" s="11" t="str">
        <f>IF(Input!$A150="","",Input!$A150)</f>
        <v/>
      </c>
      <c r="B150" t="str">
        <f>IF(Input!$B150="","",Input!$B150)</f>
        <v/>
      </c>
      <c r="C150" t="e">
        <f>IF(Input!$C150="",NA(),SUM(Input!$C$3:'Input'!$C150))</f>
        <v>#N/A</v>
      </c>
      <c r="D150" s="4" t="str">
        <f t="shared" si="5"/>
        <v/>
      </c>
    </row>
    <row r="151" spans="1:4" x14ac:dyDescent="0.3">
      <c r="A151" s="11" t="str">
        <f>IF(Input!$A151="","",Input!$A151)</f>
        <v/>
      </c>
      <c r="B151" t="str">
        <f>IF(Input!$B151="","",Input!$B151)</f>
        <v/>
      </c>
      <c r="C151" t="e">
        <f>IF(Input!$C151="",NA(),SUM(Input!$C$3:'Input'!$C151))</f>
        <v>#N/A</v>
      </c>
      <c r="D151" s="4" t="str">
        <f t="shared" si="5"/>
        <v/>
      </c>
    </row>
    <row r="152" spans="1:4" x14ac:dyDescent="0.3">
      <c r="A152" s="11" t="str">
        <f>IF(Input!$A152="","",Input!$A152)</f>
        <v/>
      </c>
      <c r="B152" t="str">
        <f>IF(Input!$B152="","",Input!$B152)</f>
        <v/>
      </c>
      <c r="C152" t="e">
        <f>IF(Input!$C152="",NA(),SUM(Input!$C$3:'Input'!$C152))</f>
        <v>#N/A</v>
      </c>
      <c r="D152" s="4" t="str">
        <f t="shared" si="5"/>
        <v/>
      </c>
    </row>
    <row r="153" spans="1:4" x14ac:dyDescent="0.3">
      <c r="A153" s="11" t="str">
        <f>IF(Input!$A153="","",Input!$A153)</f>
        <v/>
      </c>
      <c r="B153" t="str">
        <f>IF(Input!$B153="","",Input!$B153)</f>
        <v/>
      </c>
      <c r="C153" t="e">
        <f>IF(Input!$C153="",NA(),SUM(Input!$C$3:'Input'!$C153))</f>
        <v>#N/A</v>
      </c>
      <c r="D153" s="4" t="str">
        <f t="shared" si="5"/>
        <v/>
      </c>
    </row>
    <row r="154" spans="1:4" x14ac:dyDescent="0.3">
      <c r="A154" s="11" t="str">
        <f>IF(Input!$A154="","",Input!$A154)</f>
        <v/>
      </c>
      <c r="B154" t="str">
        <f>IF(Input!$B154="","",Input!$B154)</f>
        <v/>
      </c>
      <c r="C154" t="e">
        <f>IF(Input!$C154="",NA(),SUM(Input!$C$3:'Input'!$C154))</f>
        <v>#N/A</v>
      </c>
      <c r="D154" s="4" t="str">
        <f t="shared" si="5"/>
        <v/>
      </c>
    </row>
    <row r="155" spans="1:4" x14ac:dyDescent="0.3">
      <c r="A155" s="11" t="str">
        <f>IF(Input!$A155="","",Input!$A155)</f>
        <v/>
      </c>
      <c r="B155" t="str">
        <f>IF(Input!$B155="","",Input!$B155)</f>
        <v/>
      </c>
      <c r="C155" t="e">
        <f>IF(Input!$C155="",NA(),SUM(Input!$C$3:'Input'!$C155))</f>
        <v>#N/A</v>
      </c>
      <c r="D155" s="4" t="str">
        <f t="shared" si="5"/>
        <v/>
      </c>
    </row>
    <row r="156" spans="1:4" x14ac:dyDescent="0.3">
      <c r="A156" s="11" t="str">
        <f>IF(Input!$A156="","",Input!$A156)</f>
        <v/>
      </c>
      <c r="B156" t="str">
        <f>IF(Input!$B156="","",Input!$B156)</f>
        <v/>
      </c>
      <c r="C156" t="e">
        <f>IF(Input!$C156="",NA(),SUM(Input!$C$3:'Input'!$C156))</f>
        <v>#N/A</v>
      </c>
      <c r="D156" s="4" t="str">
        <f t="shared" si="5"/>
        <v/>
      </c>
    </row>
    <row r="157" spans="1:4" x14ac:dyDescent="0.3">
      <c r="A157" s="11" t="str">
        <f>IF(Input!$A157="","",Input!$A157)</f>
        <v/>
      </c>
      <c r="B157" t="str">
        <f>IF(Input!$B157="","",Input!$B157)</f>
        <v/>
      </c>
      <c r="C157" t="e">
        <f>IF(Input!$C157="",NA(),SUM(Input!$C$3:'Input'!$C157))</f>
        <v>#N/A</v>
      </c>
      <c r="D157" s="4" t="str">
        <f t="shared" si="5"/>
        <v/>
      </c>
    </row>
    <row r="158" spans="1:4" x14ac:dyDescent="0.3">
      <c r="A158" s="11" t="str">
        <f>IF(Input!$A158="","",Input!$A158)</f>
        <v/>
      </c>
      <c r="B158" t="str">
        <f>IF(Input!$B158="","",Input!$B158)</f>
        <v/>
      </c>
      <c r="C158" t="e">
        <f>IF(Input!$C158="",NA(),SUM(Input!$C$3:'Input'!$C158))</f>
        <v>#N/A</v>
      </c>
      <c r="D158" s="4" t="str">
        <f t="shared" si="5"/>
        <v/>
      </c>
    </row>
    <row r="159" spans="1:4" x14ac:dyDescent="0.3">
      <c r="A159" s="11" t="str">
        <f>IF(Input!$A159="","",Input!$A159)</f>
        <v/>
      </c>
      <c r="B159" t="str">
        <f>IF(Input!$B159="","",Input!$B159)</f>
        <v/>
      </c>
      <c r="C159" t="e">
        <f>IF(Input!$C159="",NA(),SUM(Input!$C$3:'Input'!$C159))</f>
        <v>#N/A</v>
      </c>
      <c r="D159" s="4" t="str">
        <f t="shared" si="5"/>
        <v/>
      </c>
    </row>
    <row r="160" spans="1:4" x14ac:dyDescent="0.3">
      <c r="A160" s="11" t="str">
        <f>IF(Input!$A160="","",Input!$A160)</f>
        <v/>
      </c>
      <c r="B160" t="str">
        <f>IF(Input!$B160="","",Input!$B160)</f>
        <v/>
      </c>
      <c r="C160" t="e">
        <f>IF(Input!$C160="",NA(),SUM(Input!$C$3:'Input'!$C160))</f>
        <v>#N/A</v>
      </c>
      <c r="D160" s="4" t="str">
        <f t="shared" si="5"/>
        <v/>
      </c>
    </row>
    <row r="161" spans="1:4" x14ac:dyDescent="0.3">
      <c r="A161" s="11" t="str">
        <f>IF(Input!$A161="","",Input!$A161)</f>
        <v/>
      </c>
      <c r="B161" t="str">
        <f>IF(Input!$B161="","",Input!$B161)</f>
        <v/>
      </c>
      <c r="C161" t="e">
        <f>IF(Input!$C161="",NA(),SUM(Input!$C$3:'Input'!$C161))</f>
        <v>#N/A</v>
      </c>
      <c r="D161" s="4" t="str">
        <f t="shared" si="5"/>
        <v/>
      </c>
    </row>
    <row r="162" spans="1:4" x14ac:dyDescent="0.3">
      <c r="A162" s="11" t="str">
        <f>IF(Input!$A162="","",Input!$A162)</f>
        <v/>
      </c>
      <c r="B162" t="str">
        <f>IF(Input!$B162="","",Input!$B162)</f>
        <v/>
      </c>
      <c r="C162" t="e">
        <f>IF(Input!$C162="",NA(),SUM(Input!$C$3:'Input'!$C162))</f>
        <v>#N/A</v>
      </c>
      <c r="D162" s="4" t="str">
        <f t="shared" si="5"/>
        <v/>
      </c>
    </row>
    <row r="163" spans="1:4" x14ac:dyDescent="0.3">
      <c r="A163" s="11" t="str">
        <f>IF(Input!$A163="","",Input!$A163)</f>
        <v/>
      </c>
      <c r="B163" t="str">
        <f>IF(Input!$B163="","",Input!$B163)</f>
        <v/>
      </c>
      <c r="C163" t="e">
        <f>IF(Input!$C163="",NA(),SUM(Input!$C$3:'Input'!$C163))</f>
        <v>#N/A</v>
      </c>
      <c r="D163" s="4" t="str">
        <f t="shared" si="5"/>
        <v/>
      </c>
    </row>
    <row r="164" spans="1:4" x14ac:dyDescent="0.3">
      <c r="A164" s="11" t="str">
        <f>IF(Input!$A164="","",Input!$A164)</f>
        <v/>
      </c>
      <c r="B164" t="str">
        <f>IF(Input!$B164="","",Input!$B164)</f>
        <v/>
      </c>
      <c r="C164" t="e">
        <f>IF(Input!$C164="",NA(),SUM(Input!$C$3:'Input'!$C164))</f>
        <v>#N/A</v>
      </c>
      <c r="D164" s="4" t="str">
        <f t="shared" si="5"/>
        <v/>
      </c>
    </row>
    <row r="165" spans="1:4" x14ac:dyDescent="0.3">
      <c r="A165" s="11" t="str">
        <f>IF(Input!$A165="","",Input!$A165)</f>
        <v/>
      </c>
      <c r="B165" t="str">
        <f>IF(Input!$B165="","",Input!$B165)</f>
        <v/>
      </c>
      <c r="C165" t="e">
        <f>IF(Input!$C165="",NA(),SUM(Input!$C$3:'Input'!$C165))</f>
        <v>#N/A</v>
      </c>
      <c r="D165" s="4" t="str">
        <f t="shared" si="5"/>
        <v/>
      </c>
    </row>
    <row r="166" spans="1:4" x14ac:dyDescent="0.3">
      <c r="A166" s="11" t="str">
        <f>IF(Input!$A166="","",Input!$A166)</f>
        <v/>
      </c>
      <c r="B166" t="str">
        <f>IF(Input!$B166="","",Input!$B166)</f>
        <v/>
      </c>
      <c r="C166" t="e">
        <f>IF(Input!$C166="",NA(),SUM(Input!$C$3:'Input'!$C166))</f>
        <v>#N/A</v>
      </c>
      <c r="D166" s="4" t="str">
        <f t="shared" si="5"/>
        <v/>
      </c>
    </row>
    <row r="167" spans="1:4" x14ac:dyDescent="0.3">
      <c r="A167" s="11" t="str">
        <f>IF(Input!$A167="","",Input!$A167)</f>
        <v/>
      </c>
      <c r="B167" t="str">
        <f>IF(Input!$B167="","",Input!$B167)</f>
        <v/>
      </c>
      <c r="C167" t="e">
        <f>IF(Input!$C167="",NA(),SUM(Input!$C$3:'Input'!$C167))</f>
        <v>#N/A</v>
      </c>
      <c r="D167" s="4" t="str">
        <f t="shared" si="5"/>
        <v/>
      </c>
    </row>
    <row r="168" spans="1:4" x14ac:dyDescent="0.3">
      <c r="A168" s="11" t="str">
        <f>IF(Input!$A168="","",Input!$A168)</f>
        <v/>
      </c>
      <c r="B168" t="str">
        <f>IF(Input!$B168="","",Input!$B168)</f>
        <v/>
      </c>
      <c r="C168" t="e">
        <f>IF(Input!$C168="",NA(),SUM(Input!$C$3:'Input'!$C168))</f>
        <v>#N/A</v>
      </c>
      <c r="D168" s="4" t="str">
        <f t="shared" si="5"/>
        <v/>
      </c>
    </row>
    <row r="169" spans="1:4" x14ac:dyDescent="0.3">
      <c r="A169" s="11" t="str">
        <f>IF(Input!$A169="","",Input!$A169)</f>
        <v/>
      </c>
      <c r="B169" t="str">
        <f>IF(Input!$B169="","",Input!$B169)</f>
        <v/>
      </c>
      <c r="C169" t="e">
        <f>IF(Input!$C169="",NA(),SUM(Input!$C$3:'Input'!$C169))</f>
        <v>#N/A</v>
      </c>
      <c r="D169" s="4" t="str">
        <f t="shared" si="5"/>
        <v/>
      </c>
    </row>
    <row r="170" spans="1:4" x14ac:dyDescent="0.3">
      <c r="A170" s="11" t="str">
        <f>IF(Input!$A170="","",Input!$A170)</f>
        <v/>
      </c>
      <c r="B170" t="str">
        <f>IF(Input!$B170="","",Input!$B170)</f>
        <v/>
      </c>
      <c r="C170" t="e">
        <f>IF(Input!$C170="",NA(),SUM(Input!$C$3:'Input'!$C170))</f>
        <v>#N/A</v>
      </c>
      <c r="D170" s="4" t="str">
        <f t="shared" si="5"/>
        <v/>
      </c>
    </row>
    <row r="171" spans="1:4" x14ac:dyDescent="0.3">
      <c r="A171" s="11" t="str">
        <f>IF(Input!$A171="","",Input!$A171)</f>
        <v/>
      </c>
      <c r="B171" t="str">
        <f>IF(Input!$B171="","",Input!$B171)</f>
        <v/>
      </c>
      <c r="C171" t="e">
        <f>IF(Input!$C171="",NA(),SUM(Input!$C$3:'Input'!$C171))</f>
        <v>#N/A</v>
      </c>
      <c r="D171" s="4" t="str">
        <f t="shared" si="5"/>
        <v/>
      </c>
    </row>
    <row r="172" spans="1:4" x14ac:dyDescent="0.3">
      <c r="A172" s="11" t="str">
        <f>IF(Input!$A172="","",Input!$A172)</f>
        <v/>
      </c>
      <c r="B172" t="str">
        <f>IF(Input!$B172="","",Input!$B172)</f>
        <v/>
      </c>
      <c r="C172" t="e">
        <f>IF(Input!$C172="",NA(),SUM(Input!$C$3:'Input'!$C172))</f>
        <v>#N/A</v>
      </c>
      <c r="D172" s="4" t="str">
        <f t="shared" si="5"/>
        <v/>
      </c>
    </row>
    <row r="173" spans="1:4" x14ac:dyDescent="0.3">
      <c r="A173" s="11" t="str">
        <f>IF(Input!$A173="","",Input!$A173)</f>
        <v/>
      </c>
      <c r="B173" t="str">
        <f>IF(Input!$B173="","",Input!$B173)</f>
        <v/>
      </c>
      <c r="C173" t="e">
        <f>IF(Input!$C173="",NA(),SUM(Input!$C$3:'Input'!$C173))</f>
        <v>#N/A</v>
      </c>
      <c r="D173" s="4" t="str">
        <f t="shared" si="5"/>
        <v/>
      </c>
    </row>
    <row r="174" spans="1:4" x14ac:dyDescent="0.3">
      <c r="A174" s="11" t="str">
        <f>IF(Input!$A174="","",Input!$A174)</f>
        <v/>
      </c>
      <c r="B174" t="str">
        <f>IF(Input!$B174="","",Input!$B174)</f>
        <v/>
      </c>
      <c r="C174" t="e">
        <f>IF(Input!$C174="",NA(),SUM(Input!$C$3:'Input'!$C174))</f>
        <v>#N/A</v>
      </c>
      <c r="D174" s="4" t="str">
        <f t="shared" si="5"/>
        <v/>
      </c>
    </row>
    <row r="175" spans="1:4" x14ac:dyDescent="0.3">
      <c r="A175" s="11" t="str">
        <f>IF(Input!$A175="","",Input!$A175)</f>
        <v/>
      </c>
      <c r="B175" t="str">
        <f>IF(Input!$B175="","",Input!$B175)</f>
        <v/>
      </c>
      <c r="C175" t="e">
        <f>IF(Input!$C175="",NA(),SUM(Input!$C$3:'Input'!$C175))</f>
        <v>#N/A</v>
      </c>
      <c r="D175" s="4" t="str">
        <f t="shared" si="5"/>
        <v/>
      </c>
    </row>
    <row r="176" spans="1:4" x14ac:dyDescent="0.3">
      <c r="A176" s="11" t="str">
        <f>IF(Input!$A176="","",Input!$A176)</f>
        <v/>
      </c>
      <c r="B176" t="str">
        <f>IF(Input!$B176="","",Input!$B176)</f>
        <v/>
      </c>
      <c r="C176" t="e">
        <f>IF(Input!$C176="",NA(),SUM(Input!$C$3:'Input'!$C176))</f>
        <v>#N/A</v>
      </c>
      <c r="D176" s="4" t="str">
        <f t="shared" si="5"/>
        <v/>
      </c>
    </row>
    <row r="177" spans="1:4" x14ac:dyDescent="0.3">
      <c r="A177" s="11" t="str">
        <f>IF(Input!$A177="","",Input!$A177)</f>
        <v/>
      </c>
      <c r="B177" t="str">
        <f>IF(Input!$B177="","",Input!$B177)</f>
        <v/>
      </c>
      <c r="C177" t="e">
        <f>IF(Input!$C177="",NA(),SUM(Input!$C$3:'Input'!$C177))</f>
        <v>#N/A</v>
      </c>
      <c r="D177" s="4" t="str">
        <f t="shared" si="5"/>
        <v/>
      </c>
    </row>
    <row r="178" spans="1:4" x14ac:dyDescent="0.3">
      <c r="A178" s="11" t="str">
        <f>IF(Input!$A178="","",Input!$A178)</f>
        <v/>
      </c>
      <c r="B178" t="str">
        <f>IF(Input!$B178="","",Input!$B178)</f>
        <v/>
      </c>
      <c r="C178" t="e">
        <f>IF(Input!$C178="",NA(),SUM(Input!$C$3:'Input'!$C178))</f>
        <v>#N/A</v>
      </c>
      <c r="D178" s="4" t="str">
        <f t="shared" si="5"/>
        <v/>
      </c>
    </row>
    <row r="179" spans="1:4" x14ac:dyDescent="0.3">
      <c r="A179" s="11" t="str">
        <f>IF(Input!$A179="","",Input!$A179)</f>
        <v/>
      </c>
      <c r="B179" t="str">
        <f>IF(Input!$B179="","",Input!$B179)</f>
        <v/>
      </c>
      <c r="C179" t="e">
        <f>IF(Input!$C179="",NA(),SUM(Input!$C$3:'Input'!$C179))</f>
        <v>#N/A</v>
      </c>
      <c r="D179" s="4" t="str">
        <f t="shared" si="5"/>
        <v/>
      </c>
    </row>
    <row r="180" spans="1:4" x14ac:dyDescent="0.3">
      <c r="A180" s="11" t="str">
        <f>IF(Input!$A180="","",Input!$A180)</f>
        <v/>
      </c>
      <c r="B180" t="str">
        <f>IF(Input!$B180="","",Input!$B180)</f>
        <v/>
      </c>
      <c r="C180" t="e">
        <f>IF(Input!$C180="",NA(),SUM(Input!$C$3:'Input'!$C180))</f>
        <v>#N/A</v>
      </c>
      <c r="D180" s="4" t="str">
        <f t="shared" si="5"/>
        <v/>
      </c>
    </row>
    <row r="181" spans="1:4" x14ac:dyDescent="0.3">
      <c r="A181" s="11" t="str">
        <f>IF(Input!$A181="","",Input!$A181)</f>
        <v/>
      </c>
      <c r="B181" t="str">
        <f>IF(Input!$B181="","",Input!$B181)</f>
        <v/>
      </c>
      <c r="C181" t="e">
        <f>IF(Input!$C181="",NA(),SUM(Input!$C$3:'Input'!$C181))</f>
        <v>#N/A</v>
      </c>
      <c r="D181" s="4" t="str">
        <f t="shared" si="5"/>
        <v/>
      </c>
    </row>
    <row r="182" spans="1:4" x14ac:dyDescent="0.3">
      <c r="A182" s="11" t="str">
        <f>IF(Input!$A182="","",Input!$A182)</f>
        <v/>
      </c>
      <c r="B182" t="str">
        <f>IF(Input!$B182="","",Input!$B182)</f>
        <v/>
      </c>
      <c r="C182" t="e">
        <f>IF(Input!$C182="",NA(),SUM(Input!$C$3:'Input'!$C182))</f>
        <v>#N/A</v>
      </c>
      <c r="D182" s="4" t="str">
        <f t="shared" si="5"/>
        <v/>
      </c>
    </row>
    <row r="183" spans="1:4" x14ac:dyDescent="0.3">
      <c r="A183" s="11" t="str">
        <f>IF(Input!$A183="","",Input!$A183)</f>
        <v/>
      </c>
      <c r="B183" t="str">
        <f>IF(Input!$B183="","",Input!$B183)</f>
        <v/>
      </c>
      <c r="C183" t="e">
        <f>IF(Input!$C183="",NA(),SUM(Input!$C$3:'Input'!$C183))</f>
        <v>#N/A</v>
      </c>
      <c r="D183" s="4" t="str">
        <f t="shared" si="5"/>
        <v/>
      </c>
    </row>
    <row r="184" spans="1:4" x14ac:dyDescent="0.3">
      <c r="A184" s="11" t="str">
        <f>IF(Input!$A184="","",Input!$A184)</f>
        <v/>
      </c>
      <c r="B184" t="str">
        <f>IF(Input!$B184="","",Input!$B184)</f>
        <v/>
      </c>
      <c r="C184" t="e">
        <f>IF(Input!$C184="",NA(),SUM(Input!$C$3:'Input'!$C184))</f>
        <v>#N/A</v>
      </c>
      <c r="D184" s="4" t="str">
        <f t="shared" si="5"/>
        <v/>
      </c>
    </row>
    <row r="185" spans="1:4" x14ac:dyDescent="0.3">
      <c r="A185" s="11" t="str">
        <f>IF(Input!$A185="","",Input!$A185)</f>
        <v/>
      </c>
      <c r="B185" t="str">
        <f>IF(Input!$B185="","",Input!$B185)</f>
        <v/>
      </c>
      <c r="C185" t="e">
        <f>IF(Input!$C185="",NA(),SUM(Input!$C$3:'Input'!$C185))</f>
        <v>#N/A</v>
      </c>
      <c r="D185" s="4" t="str">
        <f t="shared" si="5"/>
        <v/>
      </c>
    </row>
    <row r="186" spans="1:4" x14ac:dyDescent="0.3">
      <c r="A186" s="11" t="str">
        <f>IF(Input!$A186="","",Input!$A186)</f>
        <v/>
      </c>
      <c r="B186" t="str">
        <f>IF(Input!$B186="","",Input!$B186)</f>
        <v/>
      </c>
      <c r="C186" t="e">
        <f>IF(Input!$C186="",NA(),SUM(Input!$C$3:'Input'!$C186))</f>
        <v>#N/A</v>
      </c>
      <c r="D186" s="4" t="str">
        <f t="shared" si="5"/>
        <v/>
      </c>
    </row>
    <row r="187" spans="1:4" x14ac:dyDescent="0.3">
      <c r="A187" s="11" t="str">
        <f>IF(Input!$A187="","",Input!$A187)</f>
        <v/>
      </c>
      <c r="B187" t="str">
        <f>IF(Input!$B187="","",Input!$B187)</f>
        <v/>
      </c>
      <c r="C187" t="e">
        <f>IF(Input!$C187="",NA(),SUM(Input!$C$3:'Input'!$C187))</f>
        <v>#N/A</v>
      </c>
      <c r="D187" s="4" t="str">
        <f t="shared" si="5"/>
        <v/>
      </c>
    </row>
    <row r="188" spans="1:4" x14ac:dyDescent="0.3">
      <c r="A188" s="11" t="str">
        <f>IF(Input!$A188="","",Input!$A188)</f>
        <v/>
      </c>
      <c r="B188" t="str">
        <f>IF(Input!$B188="","",Input!$B188)</f>
        <v/>
      </c>
      <c r="C188" t="e">
        <f>IF(Input!$C188="",NA(),SUM(Input!$C$3:'Input'!$C188))</f>
        <v>#N/A</v>
      </c>
      <c r="D188" s="4" t="str">
        <f t="shared" si="5"/>
        <v/>
      </c>
    </row>
    <row r="189" spans="1:4" x14ac:dyDescent="0.3">
      <c r="A189" s="11" t="str">
        <f>IF(Input!$A189="","",Input!$A189)</f>
        <v/>
      </c>
      <c r="B189" t="str">
        <f>IF(Input!$B189="","",Input!$B189)</f>
        <v/>
      </c>
      <c r="C189" t="e">
        <f>IF(Input!$C189="",NA(),SUM(Input!$C$3:'Input'!$C189))</f>
        <v>#N/A</v>
      </c>
      <c r="D189" s="4" t="str">
        <f t="shared" si="5"/>
        <v/>
      </c>
    </row>
    <row r="190" spans="1:4" x14ac:dyDescent="0.3">
      <c r="A190" s="11" t="str">
        <f>IF(Input!$A190="","",Input!$A190)</f>
        <v/>
      </c>
      <c r="B190" t="str">
        <f>IF(Input!$B190="","",Input!$B190)</f>
        <v/>
      </c>
      <c r="C190" t="e">
        <f>IF(Input!$C190="",NA(),SUM(Input!$C$3:'Input'!$C190))</f>
        <v>#N/A</v>
      </c>
      <c r="D190" s="4" t="str">
        <f t="shared" si="5"/>
        <v/>
      </c>
    </row>
    <row r="191" spans="1:4" x14ac:dyDescent="0.3">
      <c r="A191" s="11" t="str">
        <f>IF(Input!$A191="","",Input!$A191)</f>
        <v/>
      </c>
      <c r="B191" t="str">
        <f>IF(Input!$B191="","",Input!$B191)</f>
        <v/>
      </c>
      <c r="C191" t="e">
        <f>IF(Input!$C191="",NA(),SUM(Input!$C$3:'Input'!$C191))</f>
        <v>#N/A</v>
      </c>
      <c r="D191" s="4" t="str">
        <f t="shared" si="5"/>
        <v/>
      </c>
    </row>
    <row r="192" spans="1:4" x14ac:dyDescent="0.3">
      <c r="A192" s="11" t="str">
        <f>IF(Input!$A192="","",Input!$A192)</f>
        <v/>
      </c>
      <c r="B192" t="str">
        <f>IF(Input!$B192="","",Input!$B192)</f>
        <v/>
      </c>
      <c r="C192" t="e">
        <f>IF(Input!$C192="",NA(),SUM(Input!$C$3:'Input'!$C192))</f>
        <v>#N/A</v>
      </c>
      <c r="D192" s="4" t="str">
        <f t="shared" si="5"/>
        <v/>
      </c>
    </row>
    <row r="193" spans="1:4" x14ac:dyDescent="0.3">
      <c r="A193" s="11" t="str">
        <f>IF(Input!$A193="","",Input!$A193)</f>
        <v/>
      </c>
      <c r="B193" t="str">
        <f>IF(Input!$B193="","",Input!$B193)</f>
        <v/>
      </c>
      <c r="C193" t="e">
        <f>IF(Input!$C193="",NA(),SUM(Input!$C$3:'Input'!$C193))</f>
        <v>#N/A</v>
      </c>
      <c r="D193" s="4" t="str">
        <f t="shared" si="5"/>
        <v/>
      </c>
    </row>
    <row r="194" spans="1:4" x14ac:dyDescent="0.3">
      <c r="A194" s="11" t="str">
        <f>IF(Input!$A194="","",Input!$A194)</f>
        <v/>
      </c>
      <c r="B194" t="str">
        <f>IF(Input!$B194="","",Input!$B194)</f>
        <v/>
      </c>
      <c r="C194" t="e">
        <f>IF(Input!$C194="",NA(),SUM(Input!$C$3:'Input'!$C194))</f>
        <v>#N/A</v>
      </c>
      <c r="D194" s="4" t="str">
        <f t="shared" si="5"/>
        <v/>
      </c>
    </row>
    <row r="195" spans="1:4" x14ac:dyDescent="0.3">
      <c r="A195" s="11" t="str">
        <f>IF(Input!$A195="","",Input!$A195)</f>
        <v/>
      </c>
      <c r="B195" t="str">
        <f>IF(Input!$B195="","",Input!$B195)</f>
        <v/>
      </c>
      <c r="C195" t="e">
        <f>IF(Input!$C195="",NA(),SUM(Input!$C$3:'Input'!$C195))</f>
        <v>#N/A</v>
      </c>
      <c r="D195" s="4" t="str">
        <f t="shared" si="5"/>
        <v/>
      </c>
    </row>
    <row r="196" spans="1:4" x14ac:dyDescent="0.3">
      <c r="A196" s="11" t="str">
        <f>IF(Input!$A196="","",Input!$A196)</f>
        <v/>
      </c>
      <c r="B196" t="str">
        <f>IF(Input!$B196="","",Input!$B196)</f>
        <v/>
      </c>
      <c r="C196" t="e">
        <f>IF(Input!$C196="",NA(),SUM(Input!$C$3:'Input'!$C196))</f>
        <v>#N/A</v>
      </c>
      <c r="D196" s="4" t="str">
        <f t="shared" ref="D196:D202" si="6">IF($A196="","",$D195+$B$2/SUMPRODUCT(--($A$3:$A$202&lt;&gt;"")))</f>
        <v/>
      </c>
    </row>
    <row r="197" spans="1:4" x14ac:dyDescent="0.3">
      <c r="A197" s="11" t="str">
        <f>IF(Input!$A197="","",Input!$A197)</f>
        <v/>
      </c>
      <c r="B197" t="str">
        <f>IF(Input!$B197="","",Input!$B197)</f>
        <v/>
      </c>
      <c r="C197" t="e">
        <f>IF(Input!$C197="",NA(),SUM(Input!$C$3:'Input'!$C197))</f>
        <v>#N/A</v>
      </c>
      <c r="D197" s="4" t="str">
        <f t="shared" si="6"/>
        <v/>
      </c>
    </row>
    <row r="198" spans="1:4" x14ac:dyDescent="0.3">
      <c r="A198" s="11" t="str">
        <f>IF(Input!$A198="","",Input!$A198)</f>
        <v/>
      </c>
      <c r="B198" t="str">
        <f>IF(Input!$B198="","",Input!$B198)</f>
        <v/>
      </c>
      <c r="C198" t="e">
        <f>IF(Input!$C198="",NA(),SUM(Input!$C$3:'Input'!$C198))</f>
        <v>#N/A</v>
      </c>
      <c r="D198" s="4" t="str">
        <f t="shared" si="6"/>
        <v/>
      </c>
    </row>
    <row r="199" spans="1:4" x14ac:dyDescent="0.3">
      <c r="A199" s="11" t="str">
        <f>IF(Input!$A199="","",Input!$A199)</f>
        <v/>
      </c>
      <c r="B199" t="str">
        <f>IF(Input!$B199="","",Input!$B199)</f>
        <v/>
      </c>
      <c r="C199" t="e">
        <f>IF(Input!$C199="",NA(),SUM(Input!$C$3:'Input'!$C199))</f>
        <v>#N/A</v>
      </c>
      <c r="D199" s="4" t="str">
        <f t="shared" si="6"/>
        <v/>
      </c>
    </row>
    <row r="200" spans="1:4" x14ac:dyDescent="0.3">
      <c r="A200" s="11" t="str">
        <f>IF(Input!$A200="","",Input!$A200)</f>
        <v/>
      </c>
      <c r="B200" t="str">
        <f>IF(Input!$B200="","",Input!$B200)</f>
        <v/>
      </c>
      <c r="C200" t="e">
        <f>IF(Input!$C200="",NA(),SUM(Input!$C$3:'Input'!$C200))</f>
        <v>#N/A</v>
      </c>
      <c r="D200" s="4" t="str">
        <f t="shared" si="6"/>
        <v/>
      </c>
    </row>
    <row r="201" spans="1:4" x14ac:dyDescent="0.3">
      <c r="A201" s="11" t="str">
        <f>IF(Input!$A201="","",Input!$A201)</f>
        <v/>
      </c>
      <c r="B201" t="str">
        <f>IF(Input!$B201="","",Input!$B201)</f>
        <v/>
      </c>
      <c r="C201" t="e">
        <f>IF(Input!$C201="",NA(),SUM(Input!$C$3:'Input'!$C201))</f>
        <v>#N/A</v>
      </c>
      <c r="D201" s="4" t="str">
        <f t="shared" si="6"/>
        <v/>
      </c>
    </row>
    <row r="202" spans="1:4" x14ac:dyDescent="0.3">
      <c r="A202" s="11" t="str">
        <f>IF(Input!$A202="","",Input!$A202)</f>
        <v/>
      </c>
      <c r="B202" t="str">
        <f>IF(Input!$B202="","",Input!$B202)</f>
        <v/>
      </c>
      <c r="C202" t="e">
        <f>IF(Input!$C202="",NA(),SUM(Input!$C$3:'Input'!$C202))</f>
        <v>#N/A</v>
      </c>
      <c r="D202" s="4" t="str">
        <f t="shared" si="6"/>
        <v/>
      </c>
    </row>
    <row r="203" spans="1:4" x14ac:dyDescent="0.3">
      <c r="A203" s="11"/>
    </row>
    <row r="204" spans="1:4" x14ac:dyDescent="0.3">
      <c r="A20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Burnup Chart</vt:lpstr>
      <vt:lpstr>Input</vt:lpstr>
    </vt:vector>
  </TitlesOfParts>
  <Company>IBM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Eddy Chen</cp:lastModifiedBy>
  <cp:lastPrinted>2016-02-23T08:42:38Z</cp:lastPrinted>
  <dcterms:created xsi:type="dcterms:W3CDTF">2016-02-23T08:35:30Z</dcterms:created>
  <dcterms:modified xsi:type="dcterms:W3CDTF">2018-03-12T08:11:11Z</dcterms:modified>
</cp:coreProperties>
</file>